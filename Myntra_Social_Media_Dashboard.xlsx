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_Posts" sheetId="2" state="visible" r:id="rId4"/>
    <sheet name="Data_Weekly" sheetId="3" state="visible" r:id="rId5"/>
    <sheet name="Data_Campaigns" sheetId="4" state="visible" r:id="rId6"/>
    <sheet name="Data_Hashtags" sheetId="5" state="visible" r:id="rId7"/>
    <sheet name="Calc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<sst xmlns="http://schemas.openxmlformats.org/spreadsheetml/2006/main" count="3721" uniqueCount="462">
  <si>
    <t xml:space="preserve">Myntra Social Media Intelligence Dashboard</t>
  </si>
  <si>
    <t xml:space="preserve">Posts: 01 Jun 2024 to 14 May 2025 (300 posts)   |   Weekly follower data: 03 Jun 2024 to 12 May 2025   |   Ad spend shown in the units supplied (currency not stated)</t>
  </si>
  <si>
    <t xml:space="preserve">Platform</t>
  </si>
  <si>
    <t xml:space="preserve">All</t>
  </si>
  <si>
    <t xml:space="preserve">Campaign</t>
  </si>
  <si>
    <t xml:space="preserve">Yellow cells are dropdown filters. Platform filters posts and weekly data; Campaign filters posts only.</t>
  </si>
  <si>
    <t xml:space="preserve">POSTS</t>
  </si>
  <si>
    <t xml:space="preserve">IMPRESSIONS</t>
  </si>
  <si>
    <t xml:space="preserve">AVG POST ENGAGEMENT RATE</t>
  </si>
  <si>
    <t xml:space="preserve">POOLED ENGAGEMENT RATE</t>
  </si>
  <si>
    <t xml:space="preserve">CLICK-THROUGH RATE</t>
  </si>
  <si>
    <t xml:space="preserve">AD SPEND</t>
  </si>
  <si>
    <t xml:space="preserve">NET FOLLOWERS ADDED</t>
  </si>
  <si>
    <t xml:space="preserve">filtered</t>
  </si>
  <si>
    <t xml:space="preserve">mean of per-post rates</t>
  </si>
  <si>
    <t xml:space="preserve">total engagement / impressions</t>
  </si>
  <si>
    <t xml:space="preserve">clicks / impressions</t>
  </si>
  <si>
    <t xml:space="preserve">weekly data, platform filter</t>
  </si>
  <si>
    <t xml:space="preserve">new minus unfollows</t>
  </si>
  <si>
    <t xml:space="preserve">Key findings (full dataset, static text, does not change with the filters)</t>
  </si>
  <si>
    <t xml:space="preserve">PLATFORMS: Instagram has the highest average post engagement rate (19.3%; others 12.2% to 14.4%) and Instagram added the most net followers (48,004). Facebook receives the most ad spend (1,379,539) but turns it into only 25.8 net followers per 1,000 spent, versus 41.2 on Instagram.</t>
  </si>
  <si>
    <t xml:space="preserve">CONTENT: Story posts have the best average engagement rate (18.4%) and Text posts the worst (11.8%). The strongest platform/format combos are Instagram Reels (26.0%) and Instagram Stories (24.6%). Each combo has only about 12 posts, so treat this as directional.</t>
  </si>
  <si>
    <t xml:space="preserve">AD SPEND: weekly ad spend barely moves follower growth. Correlation with net adds is -0.06 for all platforms combined and 0.03 to 0.23 by platform. In this data, spending more in a week does not reliably buy more followers.</t>
  </si>
  <si>
    <t xml:space="preserve">HASHTAGS: #StyleWithMyntra has the highest average engagement rate (15.6%) and #StyleWithMyntra is the most used (104 posts). The gap between the best and worst hashtag (#FashionDeals) is only 2.0 percentage points, so hashtag choice is a minor lever compared with platform and format.</t>
  </si>
  <si>
    <t xml:space="preserve">CAMPAIGNS: EndOfSeasonSale generated the most engagements (295,774); FashionUpgrade the most per 1,000 budget (1,657); StyleRevolution added the most followers per 1,000 budget during its dates (86.2) and StyleRevolution has the highest average engagement rate (15.8%).</t>
  </si>
  <si>
    <t xml:space="preserve">CAUTION: campaign tags on posts do not line up with campaign dates (EndOfSeasonSale-tagged posts run Jun 2024 to Apr 2025, the campaign ran 10 Jun to 5 Jul 2024), so post-based and date-window campaign figures measure different things. A few tiny-impression posts have rates above 100% (max 181%), which inflates averages; the pooled rate is shown beside it.</t>
  </si>
  <si>
    <t xml:space="preserve">1. Platform comparison</t>
  </si>
  <si>
    <t xml:space="preserve">Posts</t>
  </si>
  <si>
    <t xml:space="preserve">Impressions</t>
  </si>
  <si>
    <t xml:space="preserve">Avg Post Engagement Rate</t>
  </si>
  <si>
    <t xml:space="preserve">Pooled Engagement Rate</t>
  </si>
  <si>
    <t xml:space="preserve">Clicks</t>
  </si>
  <si>
    <t xml:space="preserve">CTR</t>
  </si>
  <si>
    <t xml:space="preserve">Ad Spend</t>
  </si>
  <si>
    <t xml:space="preserve">Net Followers Added</t>
  </si>
  <si>
    <t xml:space="preserve">Net Followers per 1,000 Ad Spend</t>
  </si>
  <si>
    <t xml:space="preserve">Facebook</t>
  </si>
  <si>
    <t xml:space="preserve">Instagram</t>
  </si>
  <si>
    <t xml:space="preserve">Twitter</t>
  </si>
  <si>
    <t xml:space="preserve">YouTube</t>
  </si>
  <si>
    <t xml:space="preserve">Post columns follow the Campaign filter. Ad spend and follower columns come from the weekly summary, which has no campaign field, so the Campaign filter does not change them.</t>
  </si>
  <si>
    <t xml:space="preserve">2. Content type performance</t>
  </si>
  <si>
    <t xml:space="preserve">Content Type</t>
  </si>
  <si>
    <t xml:space="preserve">Avg Likes</t>
  </si>
  <si>
    <t xml:space="preserve">Avg Shares</t>
  </si>
  <si>
    <t xml:space="preserve">Avg Comments</t>
  </si>
  <si>
    <t xml:space="preserve">Avg Clicks</t>
  </si>
  <si>
    <t xml:space="preserve">Avg engagement rate</t>
  </si>
  <si>
    <t xml:space="preserve">Carousel</t>
  </si>
  <si>
    <t xml:space="preserve">Image</t>
  </si>
  <si>
    <t xml:space="preserve">Reel</t>
  </si>
  <si>
    <t xml:space="preserve">Story</t>
  </si>
  <si>
    <t xml:space="preserve">Text</t>
  </si>
  <si>
    <t xml:space="preserve">Video</t>
  </si>
  <si>
    <t xml:space="preserve">Left table follows both filters. The heatmap (content type x platform) follows the Campaign filter only; each cell holds roughly 12 posts, so read it as directional.</t>
  </si>
  <si>
    <t xml:space="preserve">3. Hashtag performance</t>
  </si>
  <si>
    <t xml:space="preserve">Hashtag</t>
  </si>
  <si>
    <t xml:space="preserve">Posts Using It</t>
  </si>
  <si>
    <t xml:space="preserve">Avg Clicks per Post</t>
  </si>
  <si>
    <t xml:space="preserve">Share of Hashtag Uses</t>
  </si>
  <si>
    <t xml:space="preserve">#FashionDeals</t>
  </si>
  <si>
    <t xml:space="preserve">#MyntraFashion</t>
  </si>
  <si>
    <t xml:space="preserve">#MyntraSale</t>
  </si>
  <si>
    <t xml:space="preserve">#MyntraTrend</t>
  </si>
  <si>
    <t xml:space="preserve">#StyleWithMyntra</t>
  </si>
  <si>
    <t xml:space="preserve">Built from the split-hashtag table (one row per post-hashtag pair), so a post with two hashtags counts once under each. Follows both filters.</t>
  </si>
  <si>
    <t xml:space="preserve">4. Campaign effectiveness</t>
  </si>
  <si>
    <t xml:space="preserve">Start</t>
  </si>
  <si>
    <t xml:space="preserve">End</t>
  </si>
  <si>
    <t xml:space="preserve">Budget</t>
  </si>
  <si>
    <t xml:space="preserve">Tagged Posts</t>
  </si>
  <si>
    <t xml:space="preserve">Likes</t>
  </si>
  <si>
    <t xml:space="preserve">Total Engagement</t>
  </si>
  <si>
    <t xml:space="preserve">Engagement per 1,000 Budget</t>
  </si>
  <si>
    <t xml:space="preserve">Weeks in Window</t>
  </si>
  <si>
    <t xml:space="preserve">Net Followers in Window</t>
  </si>
  <si>
    <t xml:space="preserve">Net Followers per 1,000 Budget</t>
  </si>
  <si>
    <t xml:space="preserve">Post metrics use the campaign tag on each post. Follower metrics use the campaign's start/end dates against the weekly data (windows are 4 or 5 weeks long). Budget is not split by platform, so the per-1,000-budget columns are most meaningful with Platform = All.</t>
  </si>
  <si>
    <t xml:space="preserve">5. Follower growth trend (follows the Platform filter)</t>
  </si>
  <si>
    <t xml:space="preserve">PEAK WEEK (WEEK STARTING)</t>
  </si>
  <si>
    <t xml:space="preserve">NET FOLLOWERS IN PEAK WEEK</t>
  </si>
  <si>
    <t xml:space="preserve">AVG WEEKLY NET FOLLOWERS</t>
  </si>
  <si>
    <t xml:space="preserve">CORRELATION: AD SPEND vs NET ADDS (r)</t>
  </si>
  <si>
    <t xml:space="preserve">r near 0 means ad spend does not explain weekly follower gains.</t>
  </si>
  <si>
    <t xml:space="preserve">Trend tables behind these charts are on the Calc sheet. Net followers = New Followers minus Unfollows; the supplied Total_Followers column is not used because it jumps erratically week to week.</t>
  </si>
  <si>
    <t xml:space="preserve">Post ID</t>
  </si>
  <si>
    <t xml:space="preserve">Date</t>
  </si>
  <si>
    <t xml:space="preserve">Post Text</t>
  </si>
  <si>
    <t xml:space="preserve">Shares</t>
  </si>
  <si>
    <t xml:space="preserve">Comments</t>
  </si>
  <si>
    <t xml:space="preserve">Reach</t>
  </si>
  <si>
    <t xml:space="preserve">Hashtag 1</t>
  </si>
  <si>
    <t xml:space="preserve">Hashtag 2</t>
  </si>
  <si>
    <t xml:space="preserve">Engagement</t>
  </si>
  <si>
    <t xml:space="preserve">Engagement Rate</t>
  </si>
  <si>
    <t xml:space="preserve">P001</t>
  </si>
  <si>
    <t xml:space="preserve">Explore the latest reel on Myntra! Trendy styles await.</t>
  </si>
  <si>
    <t xml:space="preserve">FashionUpgrade</t>
  </si>
  <si>
    <t xml:space="preserve">P002</t>
  </si>
  <si>
    <t xml:space="preserve">Explore the latest text on Myntra! Trendy styles await.</t>
  </si>
  <si>
    <t xml:space="preserve">EndOfSeasonSale</t>
  </si>
  <si>
    <t xml:space="preserve">P003</t>
  </si>
  <si>
    <t xml:space="preserve">P004</t>
  </si>
  <si>
    <t xml:space="preserve">Explore the latest story on Myntra! Trendy styles await.</t>
  </si>
  <si>
    <t xml:space="preserve">P005</t>
  </si>
  <si>
    <t xml:space="preserve">MyntraFestiveEdit</t>
  </si>
  <si>
    <t xml:space="preserve">P006</t>
  </si>
  <si>
    <t xml:space="preserve">Explore the latest carousel on Myntra! Trendy styles await.</t>
  </si>
  <si>
    <t xml:space="preserve">P007</t>
  </si>
  <si>
    <t xml:space="preserve">P008</t>
  </si>
  <si>
    <t xml:space="preserve">Explore the latest image on Myntra! Trendy styles await.</t>
  </si>
  <si>
    <t xml:space="preserve">P009</t>
  </si>
  <si>
    <t xml:space="preserve">P010</t>
  </si>
  <si>
    <t xml:space="preserve">StyleRevolution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</si>
  <si>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</si>
  <si>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</si>
  <si>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</si>
  <si>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</si>
  <si>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</si>
  <si>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Explore the latest video on Myntra! Trendy styles await.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</si>
  <si>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</si>
  <si>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</si>
  <si>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</si>
  <si>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</si>
  <si>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</si>
  <si>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</si>
  <si>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</si>
  <si>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</si>
  <si>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</si>
  <si>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</si>
  <si>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</si>
  <si>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</si>
  <si>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</si>
  <si>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</si>
  <si>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</si>
  <si>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</si>
  <si>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</si>
  <si>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</si>
  <si>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</si>
  <si>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</si>
  <si>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</si>
  <si>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</si>
  <si>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</si>
  <si>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</si>
  <si>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</si>
  <si>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</si>
  <si>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</si>
  <si>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</si>
  <si>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</si>
  <si>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</si>
  <si>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</si>
  <si>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</si>
  <si>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</si>
  <si>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</si>
  <si>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</si>
  <si>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P051</t>
  </si>
  <si>
    <t xml:space="preserve">P052</t>
  </si>
  <si>
    <t xml:space="preserve">P053</t>
  </si>
  <si>
    <t xml:space="preserve">P054</t>
  </si>
  <si>
    <t xml:space="preserve">P055</t>
  </si>
  <si>
    <t xml:space="preserve">P056</t>
  </si>
  <si>
    <t xml:space="preserve">P057</t>
  </si>
  <si>
    <t xml:space="preserve">P058</t>
  </si>
  <si>
    <t xml:space="preserve">P059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</si>
  <si>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</si>
  <si>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</si>
  <si>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</si>
  <si>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</si>
  <si>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</si>
  <si>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</si>
  <si>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</si>
  <si>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</si>
  <si>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</si>
  <si>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P069</t>
  </si>
  <si>
    <t xml:space="preserve">P070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</si>
  <si>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</si>
  <si>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</si>
  <si>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</si>
  <si>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</si>
  <si>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</si>
  <si>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</si>
  <si>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</si>
  <si>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P078</t>
  </si>
  <si>
    <t xml:space="preserve">P079</t>
  </si>
  <si>
    <t xml:space="preserve">P080</t>
  </si>
  <si>
    <t xml:space="preserve">P081</t>
  </si>
  <si>
    <t xml:space="preserve">P082</t>
  </si>
  <si>
    <t xml:space="preserve">P083</t>
  </si>
  <si>
    <t xml:space="preserve">P084</t>
  </si>
  <si>
    <t xml:space="preserve">P085</t>
  </si>
  <si>
    <t xml:space="preserve">P086</t>
  </si>
  <si>
    <t xml:space="preserve">P087</t>
  </si>
  <si>
    <t xml:space="preserve">P088</t>
  </si>
  <si>
    <t xml:space="preserve">P089</t>
  </si>
  <si>
    <t xml:space="preserve">P090</t>
  </si>
  <si>
    <t xml:space="preserve">P091</t>
  </si>
  <si>
    <t xml:space="preserve">P092</t>
  </si>
  <si>
    <t xml:space="preserve">P093</t>
  </si>
  <si>
    <t xml:space="preserve">P094</t>
  </si>
  <si>
    <t xml:space="preserve">P095</t>
  </si>
  <si>
    <t xml:space="preserve">P096</t>
  </si>
  <si>
    <t xml:space="preserve">P097</t>
  </si>
  <si>
    <t xml:space="preserve">P098</t>
  </si>
  <si>
    <t xml:space="preserve">P099</t>
  </si>
  <si>
    <t xml:space="preserve">P100</t>
  </si>
  <si>
    <t xml:space="preserve">P101</t>
  </si>
  <si>
    <t xml:space="preserve">P102</t>
  </si>
  <si>
    <t xml:space="preserve">P103</t>
  </si>
  <si>
    <t xml:space="preserve">P104</t>
  </si>
  <si>
    <t xml:space="preserve">P105</t>
  </si>
  <si>
    <t xml:space="preserve">P106</t>
  </si>
  <si>
    <t xml:space="preserve">P107</t>
  </si>
  <si>
    <t xml:space="preserve">P108</t>
  </si>
  <si>
    <t xml:space="preserve">P109</t>
  </si>
  <si>
    <t xml:space="preserve">P110</t>
  </si>
  <si>
    <t xml:space="preserve">P111</t>
  </si>
  <si>
    <t xml:space="preserve">P112</t>
  </si>
  <si>
    <t xml:space="preserve">P113</t>
  </si>
  <si>
    <t xml:space="preserve">P114</t>
  </si>
  <si>
    <t xml:space="preserve">P115</t>
  </si>
  <si>
    <t xml:space="preserve">P116</t>
  </si>
  <si>
    <t xml:space="preserve">P117</t>
  </si>
  <si>
    <t xml:space="preserve">P118</t>
  </si>
  <si>
    <t xml:space="preserve">P119</t>
  </si>
  <si>
    <t xml:space="preserve">P120</t>
  </si>
  <si>
    <t xml:space="preserve">P121</t>
  </si>
  <si>
    <t xml:space="preserve">P122</t>
  </si>
  <si>
    <t xml:space="preserve">P123</t>
  </si>
  <si>
    <t xml:space="preserve">P124</t>
  </si>
  <si>
    <t xml:space="preserve">P125</t>
  </si>
  <si>
    <t xml:space="preserve">P126</t>
  </si>
  <si>
    <t xml:space="preserve">P127</t>
  </si>
  <si>
    <t xml:space="preserve">P128</t>
  </si>
  <si>
    <t xml:space="preserve">P129</t>
  </si>
  <si>
    <t xml:space="preserve">P130</t>
  </si>
  <si>
    <t xml:space="preserve">P131</t>
  </si>
  <si>
    <t xml:space="preserve">P132</t>
  </si>
  <si>
    <t xml:space="preserve">P133</t>
  </si>
  <si>
    <t xml:space="preserve">P134</t>
  </si>
  <si>
    <t xml:space="preserve">P135</t>
  </si>
  <si>
    <t xml:space="preserve">P136</t>
  </si>
  <si>
    <t xml:space="preserve">P137</t>
  </si>
  <si>
    <t xml:space="preserve">P138</t>
  </si>
  <si>
    <t xml:space="preserve">P139</t>
  </si>
  <si>
    <t xml:space="preserve">P140</t>
  </si>
  <si>
    <t xml:space="preserve">P141</t>
  </si>
  <si>
    <t xml:space="preserve">P142</t>
  </si>
  <si>
    <t xml:space="preserve">P143</t>
  </si>
  <si>
    <t xml:space="preserve">P144</t>
  </si>
  <si>
    <t xml:space="preserve">P145</t>
  </si>
  <si>
    <t xml:space="preserve">P146</t>
  </si>
  <si>
    <t xml:space="preserve">P147</t>
  </si>
  <si>
    <t xml:space="preserve">P148</t>
  </si>
  <si>
    <t xml:space="preserve">P149</t>
  </si>
  <si>
    <t xml:space="preserve">P150</t>
  </si>
  <si>
    <t xml:space="preserve">P151</t>
  </si>
  <si>
    <t xml:space="preserve">P152</t>
  </si>
  <si>
    <t xml:space="preserve">P153</t>
  </si>
  <si>
    <t xml:space="preserve">P154</t>
  </si>
  <si>
    <t xml:space="preserve">P155</t>
  </si>
  <si>
    <t xml:space="preserve">P156</t>
  </si>
  <si>
    <t xml:space="preserve">P157</t>
  </si>
  <si>
    <t xml:space="preserve">P158</t>
  </si>
  <si>
    <t xml:space="preserve">P159</t>
  </si>
  <si>
    <t xml:space="preserve">P160</t>
  </si>
  <si>
    <t xml:space="preserve">P161</t>
  </si>
  <si>
    <t xml:space="preserve">P162</t>
  </si>
  <si>
    <t xml:space="preserve">P163</t>
  </si>
  <si>
    <t xml:space="preserve">P164</t>
  </si>
  <si>
    <t xml:space="preserve">P165</t>
  </si>
  <si>
    <t xml:space="preserve">P166</t>
  </si>
  <si>
    <t xml:space="preserve">P167</t>
  </si>
  <si>
    <t xml:space="preserve">P168</t>
  </si>
  <si>
    <t xml:space="preserve">P169</t>
  </si>
  <si>
    <t xml:space="preserve">P170</t>
  </si>
  <si>
    <t xml:space="preserve">P171</t>
  </si>
  <si>
    <t xml:space="preserve">P172</t>
  </si>
  <si>
    <t xml:space="preserve">P173</t>
  </si>
  <si>
    <t xml:space="preserve">P174</t>
  </si>
  <si>
    <t xml:space="preserve">P175</t>
  </si>
  <si>
    <t xml:space="preserve">P176</t>
  </si>
  <si>
    <t xml:space="preserve">P177</t>
  </si>
  <si>
    <t xml:space="preserve">P178</t>
  </si>
  <si>
    <t xml:space="preserve">P179</t>
  </si>
  <si>
    <t xml:space="preserve">P180</t>
  </si>
  <si>
    <t xml:space="preserve">P181</t>
  </si>
  <si>
    <t xml:space="preserve">P182</t>
  </si>
  <si>
    <t xml:space="preserve">P183</t>
  </si>
  <si>
    <t xml:space="preserve">P184</t>
  </si>
  <si>
    <t xml:space="preserve">P185</t>
  </si>
  <si>
    <t xml:space="preserve">P186</t>
  </si>
  <si>
    <t xml:space="preserve">P187</t>
  </si>
  <si>
    <t xml:space="preserve">P188</t>
  </si>
  <si>
    <t xml:space="preserve">P189</t>
  </si>
  <si>
    <t xml:space="preserve">P190</t>
  </si>
  <si>
    <t xml:space="preserve">P191</t>
  </si>
  <si>
    <t xml:space="preserve">P192</t>
  </si>
  <si>
    <t xml:space="preserve">P193</t>
  </si>
  <si>
    <t xml:space="preserve">P194</t>
  </si>
  <si>
    <t xml:space="preserve">P195</t>
  </si>
  <si>
    <t xml:space="preserve">P196</t>
  </si>
  <si>
    <t xml:space="preserve">P197</t>
  </si>
  <si>
    <t xml:space="preserve">P198</t>
  </si>
  <si>
    <t xml:space="preserve">P199</t>
  </si>
  <si>
    <t xml:space="preserve">P200</t>
  </si>
  <si>
    <t xml:space="preserve">P201</t>
  </si>
  <si>
    <t xml:space="preserve">P202</t>
  </si>
  <si>
    <t xml:space="preserve">P203</t>
  </si>
  <si>
    <t xml:space="preserve">P204</t>
  </si>
  <si>
    <t xml:space="preserve">P205</t>
  </si>
  <si>
    <t xml:space="preserve">P206</t>
  </si>
  <si>
    <t xml:space="preserve">P207</t>
  </si>
  <si>
    <t xml:space="preserve">P208</t>
  </si>
  <si>
    <t xml:space="preserve">P209</t>
  </si>
  <si>
    <t xml:space="preserve">P210</t>
  </si>
  <si>
    <t xml:space="preserve">P211</t>
  </si>
  <si>
    <t xml:space="preserve">P212</t>
  </si>
  <si>
    <t xml:space="preserve">P213</t>
  </si>
  <si>
    <t xml:space="preserve">P214</t>
  </si>
  <si>
    <t xml:space="preserve">P215</t>
  </si>
  <si>
    <t xml:space="preserve">P216</t>
  </si>
  <si>
    <t xml:space="preserve">P217</t>
  </si>
  <si>
    <t xml:space="preserve">P218</t>
  </si>
  <si>
    <t xml:space="preserve">P219</t>
  </si>
  <si>
    <t xml:space="preserve">P220</t>
  </si>
  <si>
    <t xml:space="preserve">P221</t>
  </si>
  <si>
    <t xml:space="preserve">P222</t>
  </si>
  <si>
    <t xml:space="preserve">P223</t>
  </si>
  <si>
    <t xml:space="preserve">P224</t>
  </si>
  <si>
    <t xml:space="preserve">P225</t>
  </si>
  <si>
    <t xml:space="preserve">P226</t>
  </si>
  <si>
    <t xml:space="preserve">P227</t>
  </si>
  <si>
    <t xml:space="preserve">P228</t>
  </si>
  <si>
    <t xml:space="preserve">P229</t>
  </si>
  <si>
    <t xml:space="preserve">P230</t>
  </si>
  <si>
    <t xml:space="preserve">P231</t>
  </si>
  <si>
    <t xml:space="preserve">P232</t>
  </si>
  <si>
    <t xml:space="preserve">P233</t>
  </si>
  <si>
    <t xml:space="preserve">P234</t>
  </si>
  <si>
    <t xml:space="preserve">P235</t>
  </si>
  <si>
    <t xml:space="preserve">P236</t>
  </si>
  <si>
    <t xml:space="preserve">P237</t>
  </si>
  <si>
    <t xml:space="preserve">P238</t>
  </si>
  <si>
    <t xml:space="preserve">P239</t>
  </si>
  <si>
    <t xml:space="preserve">P240</t>
  </si>
  <si>
    <t xml:space="preserve">P241</t>
  </si>
  <si>
    <t xml:space="preserve">P242</t>
  </si>
  <si>
    <t xml:space="preserve">P243</t>
  </si>
  <si>
    <t xml:space="preserve">P244</t>
  </si>
  <si>
    <t xml:space="preserve">P245</t>
  </si>
  <si>
    <t xml:space="preserve">P246</t>
  </si>
  <si>
    <t xml:space="preserve">P247</t>
  </si>
  <si>
    <t xml:space="preserve">P248</t>
  </si>
  <si>
    <t xml:space="preserve">P249</t>
  </si>
  <si>
    <t xml:space="preserve">P250</t>
  </si>
  <si>
    <t xml:space="preserve">P251</t>
  </si>
  <si>
    <t xml:space="preserve">P252</t>
  </si>
  <si>
    <t xml:space="preserve">P253</t>
  </si>
  <si>
    <t xml:space="preserve">P254</t>
  </si>
  <si>
    <t xml:space="preserve">P255</t>
  </si>
  <si>
    <t xml:space="preserve">P256</t>
  </si>
  <si>
    <t xml:space="preserve">P257</t>
  </si>
  <si>
    <t xml:space="preserve">P258</t>
  </si>
  <si>
    <t xml:space="preserve">P259</t>
  </si>
  <si>
    <t xml:space="preserve">P260</t>
  </si>
  <si>
    <t xml:space="preserve">P261</t>
  </si>
  <si>
    <t xml:space="preserve">P262</t>
  </si>
  <si>
    <t xml:space="preserve">P263</t>
  </si>
  <si>
    <t xml:space="preserve">P264</t>
  </si>
  <si>
    <t xml:space="preserve">P265</t>
  </si>
  <si>
    <t xml:space="preserve">P266</t>
  </si>
  <si>
    <t xml:space="preserve">P267</t>
  </si>
  <si>
    <t xml:space="preserve">P268</t>
  </si>
  <si>
    <t xml:space="preserve">P269</t>
  </si>
  <si>
    <t xml:space="preserve">P270</t>
  </si>
  <si>
    <t xml:space="preserve">P271</t>
  </si>
  <si>
    <t xml:space="preserve">P272</t>
  </si>
  <si>
    <t xml:space="preserve">P273</t>
  </si>
  <si>
    <t xml:space="preserve">P274</t>
  </si>
  <si>
    <t xml:space="preserve">P275</t>
  </si>
  <si>
    <t xml:space="preserve">P276</t>
  </si>
  <si>
    <t xml:space="preserve">P277</t>
  </si>
  <si>
    <t xml:space="preserve">P278</t>
  </si>
  <si>
    <t xml:space="preserve">P279</t>
  </si>
  <si>
    <t xml:space="preserve">P280</t>
  </si>
  <si>
    <t xml:space="preserve">P281</t>
  </si>
  <si>
    <t xml:space="preserve">P282</t>
  </si>
  <si>
    <t xml:space="preserve">P283</t>
  </si>
  <si>
    <t xml:space="preserve">P284</t>
  </si>
  <si>
    <t xml:space="preserve">P285</t>
  </si>
  <si>
    <t xml:space="preserve">P286</t>
  </si>
  <si>
    <t xml:space="preserve">P287</t>
  </si>
  <si>
    <t xml:space="preserve">P288</t>
  </si>
  <si>
    <t xml:space="preserve">P289</t>
  </si>
  <si>
    <t xml:space="preserve">P290</t>
  </si>
  <si>
    <t xml:space="preserve">P291</t>
  </si>
  <si>
    <t xml:space="preserve">P292</t>
  </si>
  <si>
    <t xml:space="preserve">P293</t>
  </si>
  <si>
    <t xml:space="preserve">P294</t>
  </si>
  <si>
    <t xml:space="preserve">P295</t>
  </si>
  <si>
    <t xml:space="preserve">P296</t>
  </si>
  <si>
    <t xml:space="preserve">P297</t>
  </si>
  <si>
    <t xml:space="preserve">P298</t>
  </si>
  <si>
    <t xml:space="preserve">P299</t>
  </si>
  <si>
    <t xml:space="preserve">P300</t>
  </si>
  <si>
    <t xml:space="preserve">Week Start</t>
  </si>
  <si>
    <t xml:space="preserve">New Followers</t>
  </si>
  <si>
    <t xml:space="preserve">Unfollows</t>
  </si>
  <si>
    <t xml:space="preserve">Total Followers (as supplied)</t>
  </si>
  <si>
    <t xml:space="preserve">Engagement Rate % (as supplied)</t>
  </si>
  <si>
    <t xml:space="preserve">Net Followers</t>
  </si>
  <si>
    <t xml:space="preserve">Start Date</t>
  </si>
  <si>
    <t xml:space="preserve">End Date</t>
  </si>
  <si>
    <t xml:space="preserve">Objective</t>
  </si>
  <si>
    <t xml:space="preserve">Total Budget</t>
  </si>
  <si>
    <t xml:space="preserve">Target Platforms</t>
  </si>
  <si>
    <t xml:space="preserve">Seasonal Clearance Promotion</t>
  </si>
  <si>
    <t xml:space="preserve">Instagram,Facebook</t>
  </si>
  <si>
    <t xml:space="preserve">Customer Engagement</t>
  </si>
  <si>
    <t xml:space="preserve">Instagram,YouTube</t>
  </si>
  <si>
    <t xml:space="preserve">Festive Collection Launch</t>
  </si>
  <si>
    <t xml:space="preserve">Facebook,Instagram</t>
  </si>
  <si>
    <t xml:space="preserve">Brand Awareness &amp; Growth</t>
  </si>
  <si>
    <t xml:space="preserve">Instagram,Twitter</t>
  </si>
  <si>
    <t xml:space="preserve">Platform criterion</t>
  </si>
  <si>
    <t xml:space="preserve">Weekly trend table (feeds the trend charts). First week is the first Monday in the weekly data; each next row adds 7 days.</t>
  </si>
  <si>
    <t xml:space="preserve">Campaign criterion</t>
  </si>
  <si>
    <t xml:space="preserve">4-wk Moving Avg</t>
  </si>
  <si>
    <t xml:space="preserve">Moving average uses an expanding window for the first three weeks, then a 4-week trailing window.</t>
  </si>
  <si>
    <t xml:space="preserve">About this workbook</t>
  </si>
  <si>
    <t xml:space="preserve">Purpose</t>
  </si>
  <si>
    <t xml:space="preserve">One-page view of the Myntra social media analysis (Tasks 1-6), rebuilt on the cleaned data from the Task 1 workbook.</t>
  </si>
  <si>
    <t xml:space="preserve">How to use</t>
  </si>
  <si>
    <t xml:space="preserve">Change the yellow Platform and Campaign cells on the Dashboard. Everything recalculates from the Data_ sheets with formulas.</t>
  </si>
  <si>
    <t xml:space="preserve">Metric definitions</t>
  </si>
  <si>
    <t xml:space="preserve">Likes + Shares + Comments (per the project brief).</t>
  </si>
  <si>
    <t xml:space="preserve">Avg post engagement rate</t>
  </si>
  <si>
    <t xml:space="preserve">Average of each post's (Likes + Shares + Comments) / Impressions. This is the brief's definition.</t>
  </si>
  <si>
    <t xml:space="preserve">Pooled engagement rate</t>
  </si>
  <si>
    <t xml:space="preserve">Total engagement / total impressions. Less sensitive to tiny-impression posts, so it is shown next to the average.</t>
  </si>
  <si>
    <t xml:space="preserve">Total clicks / total impressions.</t>
  </si>
  <si>
    <t xml:space="preserve">Net followers</t>
  </si>
  <si>
    <t xml:space="preserve">New_Followers - Unfollows from the weekly summary.</t>
  </si>
  <si>
    <t xml:space="preserve">Per 1,000 ad spend / budget</t>
  </si>
  <si>
    <t xml:space="preserve">Value divided by spend (or campaign budget), multiplied by 1,000.</t>
  </si>
  <si>
    <t xml:space="preserve">Assumptions and data caveats</t>
  </si>
  <si>
    <t xml:space="preserve">Total_Followers not used</t>
  </si>
  <si>
    <t xml:space="preserve">The supplied Total_Followers column jumps by hundreds of thousands between weeks (e.g. Facebook 42,654 to 316,555 to 169,496), so growth is measured from net adds instead. The column is kept in Data_Weekly for reference.</t>
  </si>
  <si>
    <t xml:space="preserve">Ad spend currency</t>
  </si>
  <si>
    <t xml:space="preserve">Not stated in the source data, so no currency symbol is shown.</t>
  </si>
  <si>
    <t xml:space="preserve">Campaign tags vs dates</t>
  </si>
  <si>
    <t xml:space="preserve">Posts carry a campaign tag, but post dates span the whole year regardless of campaign dates. Post-based campaign metrics use the tag; follower metrics use the campaign date window. They are not directly comparable.</t>
  </si>
  <si>
    <t xml:space="preserve">Outliers</t>
  </si>
  <si>
    <t xml:space="preserve">A few posts have impressions lower than their shares, giving engagement rates above 100% (maximum about 181%). They are kept, as in the original analysis, and the pooled rate is provided as a check.</t>
  </si>
  <si>
    <t xml:space="preserve">Small samples</t>
  </si>
  <si>
    <t xml:space="preserve">Content type x platform cells hold about 12 posts each; differences between them are directional, not statistically tested.</t>
  </si>
  <si>
    <t xml:space="preserve">No duplicates found</t>
  </si>
  <si>
    <t xml:space="preserve">All 300 Post IDs in the source are unique, so no rows were removed.</t>
  </si>
  <si>
    <t xml:space="preserve">Weekly data</t>
  </si>
  <si>
    <t xml:space="preserve">200 rows = 50 weeks x 4 platforms (weeks starting 3 Jun 2024 to 12 May 2025). Weekly data has no campaign field.</t>
  </si>
  <si>
    <t xml:space="preserve">Source</t>
  </si>
  <si>
    <t xml:space="preserve">Task-1_DataCleaning.xlsx (sheets: Post, Split_Hashtags_rows, Engagment Summary, Campaign Data).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</si>
</sst>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0.00%"/>
    <numFmt numFmtId="168" formatCode="@"/>
    <numFmt numFmtId="169" formatCode="0.0"/>
    <numFmt numFmtId="170" formatCode="dd\-mmm\-yy"/>
    <numFmt numFmtId="171" formatCode="0"/>
    <numFmt numFmtId="172" formatCode="dd\-mmm\-yyyy"/>
    <numFmt numFmtId="173" formatCode="0.00"/>
    <numFmt numFmtId="174" formatCode="yyyy\-mm\-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7E818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8"/>
      <color rgb="FF7E818C"/>
      <name val="Arial"/>
      <family val="0"/>
      <charset val="1"/>
    </font>
    <font>
      <b val="true"/>
      <sz val="18"/>
      <color rgb="FFFF3F6C"/>
      <name val="Arial"/>
      <family val="0"/>
      <charset val="1"/>
    </font>
    <font>
      <i val="true"/>
      <sz val="8"/>
      <color rgb="FF7E818C"/>
      <name val="Arial"/>
      <family val="0"/>
      <charset val="1"/>
    </font>
    <font>
      <b val="true"/>
      <sz val="13"/>
      <color rgb="FF282C3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FF3F6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b val="true"/>
      <sz val="12"/>
      <color rgb="FFFF3F6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3F6C"/>
        <bgColor rgb="FFFF8080"/>
      </patternFill>
    </fill>
    <fill>
      <patternFill patternType="solid">
        <fgColor rgb="FFFFF2CC"/>
        <bgColor rgb="FFFFF0F4"/>
      </patternFill>
    </fill>
    <fill>
      <patternFill patternType="solid">
        <fgColor rgb="FFFFF0F4"/>
        <bgColor rgb="FFFFFFFF"/>
      </patternFill>
    </fill>
    <fill>
      <patternFill patternType="solid">
        <fgColor rgb="FF282C3F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4D5D9"/>
      </left>
      <right style="thin">
        <color rgb="FFD4D5D9"/>
      </right>
      <top style="thin">
        <color rgb="FFD4D5D9"/>
      </top>
      <bottom style="thin">
        <color rgb="FFD4D5D9"/>
      </bottom>
      <diagonal/>
    </border>
    <border diagonalUp="false" diagonalDown="false">
      <left/>
      <right/>
      <top/>
      <bottom style="medium">
        <color rgb="FFFF3F6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E818C"/>
      <rgbColor rgb="FF9999FF"/>
      <rgbColor rgb="FF993366"/>
      <rgbColor rgb="FFFFF2CC"/>
      <rgbColor rgb="FFFFF0F4"/>
      <rgbColor rgb="FF660066"/>
      <rgbColor rgb="FFFF8080"/>
      <rgbColor rgb="FF0066CC"/>
      <rgbColor rgb="FFD4D5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8A5B8"/>
      <rgbColor rgb="FFCC99FF"/>
      <rgbColor rgb="FFFFCC99"/>
      <rgbColor rgb="FF3366FF"/>
      <rgbColor rgb="FF33CCCC"/>
      <rgbColor rgb="FF99CC00"/>
      <rgbColor rgb="FFFFCC00"/>
      <rgbColor rgb="FFFF9900"/>
      <rgbColor rgb="FFFF3F6C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282C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post engagement rate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Dashboard!D19</c:f>
              <c:strCache>
                <c:ptCount val="1"/>
                <c:pt idx="0">
                  <c:v>Avg Post Engagement Rate</c:v>
                </c:pt>
              </c:strCache>
            </c:strRef>
          </c:tx>
          <c:spPr>
            <a:solidFill>
              <a:srgbClr val="ff3f6c"/>
            </a:solidFill>
            <a:ln w="0">
              <a:solidFill>
                <a:srgbClr val="ff3f6c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Dashboard!$A$20:$A$23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Dashboard!$D$20:$D$23</c:f>
              <c:numCache>
                <c:formatCode>0.0%</c:formatCode>
                <c:ptCount val="4"/>
                <c:pt idx="0">
                  <c:v>0.121972899561326</c:v>
                </c:pt>
                <c:pt idx="1">
                  <c:v>0.193292576939235</c:v>
                </c:pt>
                <c:pt idx="2">
                  <c:v>0.143684074342079</c:v>
                </c:pt>
                <c:pt idx="3">
                  <c:v>0.131184937707538</c:v>
                </c:pt>
              </c:numCache>
            </c:numRef>
          </c:val>
        </c:ser>
        <c:gapWidth val="60"/>
        <c:overlap val="0"/>
        <c:axId val="90222357"/>
        <c:axId val="26143585"/>
      </c:barChart>
      <c:catAx>
        <c:axId val="902223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43585"/>
        <c:crosses val="autoZero"/>
        <c:auto val="1"/>
        <c:lblAlgn val="ctr"/>
        <c:lblOffset val="100"/>
        <c:noMultiLvlLbl val="0"/>
      </c:catAx>
      <c:valAx>
        <c:axId val="26143585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223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followers added per 1,000 ad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Dashboard!J19</c:f>
              <c:strCache>
                <c:ptCount val="1"/>
                <c:pt idx="0">
                  <c:v>Net Followers per 1,000 Ad Spend</c:v>
                </c:pt>
              </c:strCache>
            </c:strRef>
          </c:tx>
          <c:spPr>
            <a:solidFill>
              <a:srgbClr val="282c3f"/>
            </a:solidFill>
            <a:ln w="0">
              <a:solidFill>
                <a:srgbClr val="282c3f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Dashboard!$A$20:$A$23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Dashboard!$J$20:$J$23</c:f>
              <c:numCache>
                <c:formatCode>0.0</c:formatCode>
                <c:ptCount val="4"/>
                <c:pt idx="0">
                  <c:v>25.7745522236051</c:v>
                </c:pt>
                <c:pt idx="1">
                  <c:v>41.2273386620954</c:v>
                </c:pt>
                <c:pt idx="2">
                  <c:v>38.833147704028</c:v>
                </c:pt>
                <c:pt idx="3">
                  <c:v>28.7853223912157</c:v>
                </c:pt>
              </c:numCache>
            </c:numRef>
          </c:val>
        </c:ser>
        <c:gapWidth val="60"/>
        <c:overlap val="0"/>
        <c:axId val="82622364"/>
        <c:axId val="22020657"/>
      </c:barChart>
      <c:catAx>
        <c:axId val="826223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20657"/>
        <c:crosses val="autoZero"/>
        <c:auto val="1"/>
        <c:lblAlgn val="ctr"/>
        <c:lblOffset val="100"/>
        <c:noMultiLvlLbl val="0"/>
      </c:catAx>
      <c:valAx>
        <c:axId val="22020657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223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post engagement rate by content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Dashboard!C43</c:f>
              <c:strCache>
                <c:ptCount val="1"/>
                <c:pt idx="0">
                  <c:v>Avg Post Engagement Rate</c:v>
                </c:pt>
              </c:strCache>
            </c:strRef>
          </c:tx>
          <c:spPr>
            <a:solidFill>
              <a:srgbClr val="ff3f6c"/>
            </a:solidFill>
            <a:ln w="0">
              <a:solidFill>
                <a:srgbClr val="ff3f6c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Dashboard!$A$44:$A$49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Dashboard!$C$44:$C$49</c:f>
              <c:numCache>
                <c:formatCode>0.0%</c:formatCode>
                <c:ptCount val="6"/>
                <c:pt idx="0">
                  <c:v>0.1481491993415</c:v>
                </c:pt>
                <c:pt idx="1">
                  <c:v>0.136874940548697</c:v>
                </c:pt>
                <c:pt idx="2">
                  <c:v>0.15615682164329</c:v>
                </c:pt>
                <c:pt idx="3">
                  <c:v>0.184257753841634</c:v>
                </c:pt>
                <c:pt idx="4">
                  <c:v>0.117506738235066</c:v>
                </c:pt>
                <c:pt idx="5">
                  <c:v>0.148148444744643</c:v>
                </c:pt>
              </c:numCache>
            </c:numRef>
          </c:val>
        </c:ser>
        <c:gapWidth val="60"/>
        <c:overlap val="0"/>
        <c:axId val="11816065"/>
        <c:axId val="36916793"/>
      </c:barChart>
      <c:catAx>
        <c:axId val="118160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16793"/>
        <c:crosses val="autoZero"/>
        <c:auto val="1"/>
        <c:lblAlgn val="ctr"/>
        <c:lblOffset val="100"/>
        <c:noMultiLvlLbl val="0"/>
      </c:catAx>
      <c:valAx>
        <c:axId val="36916793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160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clicks per post by content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Dashboard!H43</c:f>
              <c:strCache>
                <c:ptCount val="1"/>
                <c:pt idx="0">
                  <c:v>Avg Clicks</c:v>
                </c:pt>
              </c:strCache>
            </c:strRef>
          </c:tx>
          <c:spPr>
            <a:solidFill>
              <a:srgbClr val="282c3f"/>
            </a:solidFill>
            <a:ln w="0">
              <a:solidFill>
                <a:srgbClr val="282c3f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Dashboard!$A$44:$A$49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Dashboard!$H$44:$H$49</c:f>
              <c:numCache>
                <c:formatCode>#,##0</c:formatCode>
                <c:ptCount val="6"/>
                <c:pt idx="0">
                  <c:v>156.813559322034</c:v>
                </c:pt>
                <c:pt idx="1">
                  <c:v>163.587301587302</c:v>
                </c:pt>
                <c:pt idx="2">
                  <c:v>152.659574468085</c:v>
                </c:pt>
                <c:pt idx="3">
                  <c:v>131.695652173913</c:v>
                </c:pt>
                <c:pt idx="4">
                  <c:v>163.404761904762</c:v>
                </c:pt>
                <c:pt idx="5">
                  <c:v>132.837209302326</c:v>
                </c:pt>
              </c:numCache>
            </c:numRef>
          </c:val>
        </c:ser>
        <c:gapWidth val="60"/>
        <c:overlap val="0"/>
        <c:axId val="99661769"/>
        <c:axId val="46655507"/>
      </c:barChart>
      <c:catAx>
        <c:axId val="996617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55507"/>
        <c:crosses val="autoZero"/>
        <c:auto val="1"/>
        <c:lblAlgn val="ctr"/>
        <c:lblOffset val="100"/>
        <c:noMultiLvlLbl val="0"/>
      </c:catAx>
      <c:valAx>
        <c:axId val="4665550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617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engagement rate by hashtag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Dashboard!C69</c:f>
              <c:strCache>
                <c:ptCount val="1"/>
                <c:pt idx="0">
                  <c:v>Avg Post Engagement Rate</c:v>
                </c:pt>
              </c:strCache>
            </c:strRef>
          </c:tx>
          <c:spPr>
            <a:solidFill>
              <a:srgbClr val="ff3f6c"/>
            </a:solidFill>
            <a:ln w="0">
              <a:solidFill>
                <a:srgbClr val="ff3f6c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Dashboard!$A$70:$A$74</c:f>
              <c:strCache>
                <c:ptCount val="5"/>
                <c:pt idx="0">
                  <c:v>#FashionDeals</c:v>
                </c:pt>
                <c:pt idx="1">
                  <c:v>#MyntraFashion</c:v>
                </c:pt>
                <c:pt idx="2">
                  <c:v>#MyntraSale</c:v>
                </c:pt>
                <c:pt idx="3">
                  <c:v>#MyntraTrend</c:v>
                </c:pt>
                <c:pt idx="4">
                  <c:v>#StyleWithMyntra</c:v>
                </c:pt>
              </c:strCache>
            </c:strRef>
          </c:cat>
          <c:val>
            <c:numRef>
              <c:f>Dashboard!$C$70:$C$74</c:f>
              <c:numCache>
                <c:formatCode>0.0%</c:formatCode>
                <c:ptCount val="5"/>
                <c:pt idx="0">
                  <c:v>0.136610987599775</c:v>
                </c:pt>
                <c:pt idx="1">
                  <c:v>0.145493466358593</c:v>
                </c:pt>
                <c:pt idx="2">
                  <c:v>0.149173460508619</c:v>
                </c:pt>
                <c:pt idx="3">
                  <c:v>0.143530699346359</c:v>
                </c:pt>
                <c:pt idx="4">
                  <c:v>0.156181942125921</c:v>
                </c:pt>
              </c:numCache>
            </c:numRef>
          </c:val>
        </c:ser>
        <c:gapWidth val="60"/>
        <c:overlap val="0"/>
        <c:axId val="26323934"/>
        <c:axId val="27875952"/>
      </c:barChart>
      <c:catAx>
        <c:axId val="263239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75952"/>
        <c:crosses val="autoZero"/>
        <c:auto val="1"/>
        <c:lblAlgn val="ctr"/>
        <c:lblOffset val="100"/>
        <c:noMultiLvlLbl val="0"/>
      </c:catAx>
      <c:valAx>
        <c:axId val="27875952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239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Hashtag usage (posts)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Dashboard!B69</c:f>
              <c:strCache>
                <c:ptCount val="1"/>
                <c:pt idx="0">
                  <c:v>Posts Using It</c:v>
                </c:pt>
              </c:strCache>
            </c:strRef>
          </c:tx>
          <c:spPr>
            <a:solidFill>
              <a:srgbClr val="282c3f"/>
            </a:solidFill>
            <a:ln w="0">
              <a:solidFill>
                <a:srgbClr val="282c3f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Dashboard!$A$70:$A$74</c:f>
              <c:strCache>
                <c:ptCount val="5"/>
                <c:pt idx="0">
                  <c:v>#FashionDeals</c:v>
                </c:pt>
                <c:pt idx="1">
                  <c:v>#MyntraFashion</c:v>
                </c:pt>
                <c:pt idx="2">
                  <c:v>#MyntraSale</c:v>
                </c:pt>
                <c:pt idx="3">
                  <c:v>#MyntraTrend</c:v>
                </c:pt>
                <c:pt idx="4">
                  <c:v>#StyleWithMyntra</c:v>
                </c:pt>
              </c:strCache>
            </c:strRef>
          </c:cat>
          <c:val>
            <c:numRef>
              <c:f>Dashboard!$B$70:$B$74</c:f>
              <c:numCache>
                <c:formatCode>#,##0</c:formatCode>
                <c:ptCount val="5"/>
                <c:pt idx="0">
                  <c:v>80</c:v>
                </c:pt>
                <c:pt idx="1">
                  <c:v>83</c:v>
                </c:pt>
                <c:pt idx="2">
                  <c:v>97</c:v>
                </c:pt>
                <c:pt idx="3">
                  <c:v>92</c:v>
                </c:pt>
                <c:pt idx="4">
                  <c:v>104</c:v>
                </c:pt>
              </c:numCache>
            </c:numRef>
          </c:val>
        </c:ser>
        <c:gapWidth val="60"/>
        <c:overlap val="0"/>
        <c:axId val="13312436"/>
        <c:axId val="7726839"/>
      </c:barChart>
      <c:catAx>
        <c:axId val="133124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6839"/>
        <c:crosses val="autoZero"/>
        <c:auto val="1"/>
        <c:lblAlgn val="ctr"/>
        <c:lblOffset val="100"/>
        <c:noMultiLvlLbl val="0"/>
      </c:catAx>
      <c:valAx>
        <c:axId val="772683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124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Engagement per 1,000 budget (post-tagged)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Dashboard!K94</c:f>
              <c:strCache>
                <c:ptCount val="1"/>
                <c:pt idx="0">
                  <c:v>Engagement per 1,000 Budget</c:v>
                </c:pt>
              </c:strCache>
            </c:strRef>
          </c:tx>
          <c:spPr>
            <a:solidFill>
              <a:srgbClr val="ff3f6c"/>
            </a:solidFill>
            <a:ln w="0">
              <a:solidFill>
                <a:srgbClr val="ff3f6c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Dashboard!$A$95:$A$98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Dashboard!$K$95:$K$98</c:f>
              <c:numCache>
                <c:formatCode>#,##0</c:formatCode>
                <c:ptCount val="4"/>
                <c:pt idx="0">
                  <c:v>1643.18888888889</c:v>
                </c:pt>
                <c:pt idx="1">
                  <c:v>1656.525</c:v>
                </c:pt>
                <c:pt idx="2">
                  <c:v>1165.17727272727</c:v>
                </c:pt>
                <c:pt idx="3">
                  <c:v>1103.05</c:v>
                </c:pt>
              </c:numCache>
            </c:numRef>
          </c:val>
        </c:ser>
        <c:gapWidth val="60"/>
        <c:overlap val="0"/>
        <c:axId val="32593639"/>
        <c:axId val="45756012"/>
      </c:barChart>
      <c:catAx>
        <c:axId val="32593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56012"/>
        <c:crosses val="autoZero"/>
        <c:auto val="1"/>
        <c:lblAlgn val="ctr"/>
        <c:lblOffset val="100"/>
        <c:noMultiLvlLbl val="0"/>
      </c:catAx>
      <c:valAx>
        <c:axId val="4575601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936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followers per 1,000 budget (campaign window)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Dashboard!N94</c:f>
              <c:strCache>
                <c:ptCount val="1"/>
                <c:pt idx="0">
                  <c:v>Net Followers per 1,000 Budget</c:v>
                </c:pt>
              </c:strCache>
            </c:strRef>
          </c:tx>
          <c:spPr>
            <a:solidFill>
              <a:srgbClr val="282c3f"/>
            </a:solidFill>
            <a:ln w="0">
              <a:solidFill>
                <a:srgbClr val="282c3f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Dashboard!$A$95:$A$98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Dashboard!$N$95:$N$98</c:f>
              <c:numCache>
                <c:formatCode>0.0</c:formatCode>
                <c:ptCount val="4"/>
                <c:pt idx="0">
                  <c:v>62.1722222222222</c:v>
                </c:pt>
                <c:pt idx="1">
                  <c:v>65.1375</c:v>
                </c:pt>
                <c:pt idx="2">
                  <c:v>71.2545454545455</c:v>
                </c:pt>
                <c:pt idx="3">
                  <c:v>86.245</c:v>
                </c:pt>
              </c:numCache>
            </c:numRef>
          </c:val>
        </c:ser>
        <c:gapWidth val="60"/>
        <c:overlap val="0"/>
        <c:axId val="12523079"/>
        <c:axId val="15798337"/>
      </c:barChart>
      <c:catAx>
        <c:axId val="12523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98337"/>
        <c:crosses val="autoZero"/>
        <c:auto val="1"/>
        <c:lblAlgn val="ctr"/>
        <c:lblOffset val="100"/>
        <c:noMultiLvlLbl val="0"/>
      </c:catAx>
      <c:valAx>
        <c:axId val="15798337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230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net followers added and 4-week moving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Calc!B4</c:f>
              <c:strCache>
                <c:ptCount val="1"/>
                <c:pt idx="0">
                  <c:v>Net Followers Added</c:v>
                </c:pt>
              </c:strCache>
            </c:strRef>
          </c:tx>
          <c:spPr>
            <a:solidFill>
              <a:srgbClr val="f8a5b8"/>
            </a:solidFill>
            <a:ln w="15120">
              <a:solidFill>
                <a:srgbClr val="f8a5b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Calc!$A$5:$A$54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Calc!$B$5:$B$54</c:f>
              <c:numCache>
                <c:formatCode>General</c:formatCode>
                <c:ptCount val="50"/>
                <c:pt idx="0">
                  <c:v>3554</c:v>
                </c:pt>
                <c:pt idx="1">
                  <c:v>2980</c:v>
                </c:pt>
                <c:pt idx="2">
                  <c:v>3907</c:v>
                </c:pt>
                <c:pt idx="3">
                  <c:v>3011</c:v>
                </c:pt>
                <c:pt idx="4">
                  <c:v>1293</c:v>
                </c:pt>
                <c:pt idx="5">
                  <c:v>3042</c:v>
                </c:pt>
                <c:pt idx="6">
                  <c:v>2270</c:v>
                </c:pt>
                <c:pt idx="7">
                  <c:v>2753</c:v>
                </c:pt>
                <c:pt idx="8">
                  <c:v>2193</c:v>
                </c:pt>
                <c:pt idx="9">
                  <c:v>802</c:v>
                </c:pt>
                <c:pt idx="10">
                  <c:v>3728</c:v>
                </c:pt>
                <c:pt idx="11">
                  <c:v>2989</c:v>
                </c:pt>
                <c:pt idx="12">
                  <c:v>2903</c:v>
                </c:pt>
                <c:pt idx="13">
                  <c:v>2822</c:v>
                </c:pt>
                <c:pt idx="14">
                  <c:v>4360</c:v>
                </c:pt>
                <c:pt idx="15">
                  <c:v>1568</c:v>
                </c:pt>
                <c:pt idx="16">
                  <c:v>3333</c:v>
                </c:pt>
                <c:pt idx="17">
                  <c:v>3151</c:v>
                </c:pt>
                <c:pt idx="18">
                  <c:v>3759</c:v>
                </c:pt>
                <c:pt idx="19">
                  <c:v>1856</c:v>
                </c:pt>
                <c:pt idx="20">
                  <c:v>2821</c:v>
                </c:pt>
                <c:pt idx="21">
                  <c:v>2656</c:v>
                </c:pt>
                <c:pt idx="22">
                  <c:v>4584</c:v>
                </c:pt>
                <c:pt idx="23">
                  <c:v>2295</c:v>
                </c:pt>
                <c:pt idx="24">
                  <c:v>528</c:v>
                </c:pt>
                <c:pt idx="25">
                  <c:v>4008</c:v>
                </c:pt>
                <c:pt idx="26">
                  <c:v>4795</c:v>
                </c:pt>
                <c:pt idx="27">
                  <c:v>4792</c:v>
                </c:pt>
                <c:pt idx="28">
                  <c:v>5044</c:v>
                </c:pt>
                <c:pt idx="29">
                  <c:v>3914</c:v>
                </c:pt>
                <c:pt idx="30">
                  <c:v>6530</c:v>
                </c:pt>
                <c:pt idx="31">
                  <c:v>3557</c:v>
                </c:pt>
                <c:pt idx="32">
                  <c:v>2777</c:v>
                </c:pt>
                <c:pt idx="33">
                  <c:v>3614</c:v>
                </c:pt>
                <c:pt idx="34">
                  <c:v>3383</c:v>
                </c:pt>
                <c:pt idx="35">
                  <c:v>2194</c:v>
                </c:pt>
                <c:pt idx="36">
                  <c:v>5281</c:v>
                </c:pt>
                <c:pt idx="37">
                  <c:v>3693</c:v>
                </c:pt>
                <c:pt idx="38">
                  <c:v>4806</c:v>
                </c:pt>
                <c:pt idx="39">
                  <c:v>2410</c:v>
                </c:pt>
                <c:pt idx="40">
                  <c:v>3712</c:v>
                </c:pt>
                <c:pt idx="41">
                  <c:v>4042</c:v>
                </c:pt>
                <c:pt idx="42">
                  <c:v>1616</c:v>
                </c:pt>
                <c:pt idx="43">
                  <c:v>4298</c:v>
                </c:pt>
                <c:pt idx="44">
                  <c:v>2412</c:v>
                </c:pt>
                <c:pt idx="45">
                  <c:v>-137</c:v>
                </c:pt>
                <c:pt idx="46">
                  <c:v>4040</c:v>
                </c:pt>
                <c:pt idx="47">
                  <c:v>3577</c:v>
                </c:pt>
                <c:pt idx="48">
                  <c:v>4594</c:v>
                </c:pt>
                <c:pt idx="49">
                  <c:v>1995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Calc!C4</c:f>
              <c:strCache>
                <c:ptCount val="1"/>
                <c:pt idx="0">
                  <c:v>4-wk Moving Avg</c:v>
                </c:pt>
              </c:strCache>
            </c:strRef>
          </c:tx>
          <c:spPr>
            <a:solidFill>
              <a:srgbClr val="ff3f6c"/>
            </a:solidFill>
            <a:ln w="32040">
              <a:solidFill>
                <a:srgbClr val="ff3f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Calc!$A$5:$A$54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Calc!$C$5:$C$54</c:f>
              <c:numCache>
                <c:formatCode>#,##0</c:formatCode>
                <c:ptCount val="50"/>
                <c:pt idx="0">
                  <c:v>3554</c:v>
                </c:pt>
                <c:pt idx="1">
                  <c:v>3267</c:v>
                </c:pt>
                <c:pt idx="2">
                  <c:v>3480.33333333333</c:v>
                </c:pt>
                <c:pt idx="3">
                  <c:v>3363</c:v>
                </c:pt>
                <c:pt idx="4">
                  <c:v>2797.75</c:v>
                </c:pt>
                <c:pt idx="5">
                  <c:v>2813.25</c:v>
                </c:pt>
                <c:pt idx="6">
                  <c:v>2404</c:v>
                </c:pt>
                <c:pt idx="7">
                  <c:v>2339.5</c:v>
                </c:pt>
                <c:pt idx="8">
                  <c:v>2564.5</c:v>
                </c:pt>
                <c:pt idx="9">
                  <c:v>2004.5</c:v>
                </c:pt>
                <c:pt idx="10">
                  <c:v>2369</c:v>
                </c:pt>
                <c:pt idx="11">
                  <c:v>2428</c:v>
                </c:pt>
                <c:pt idx="12">
                  <c:v>2605.5</c:v>
                </c:pt>
                <c:pt idx="13">
                  <c:v>3110.5</c:v>
                </c:pt>
                <c:pt idx="14">
                  <c:v>3268.5</c:v>
                </c:pt>
                <c:pt idx="15">
                  <c:v>2913.25</c:v>
                </c:pt>
                <c:pt idx="16">
                  <c:v>3020.75</c:v>
                </c:pt>
                <c:pt idx="17">
                  <c:v>3103</c:v>
                </c:pt>
                <c:pt idx="18">
                  <c:v>2952.75</c:v>
                </c:pt>
                <c:pt idx="19">
                  <c:v>3024.75</c:v>
                </c:pt>
                <c:pt idx="20">
                  <c:v>2896.75</c:v>
                </c:pt>
                <c:pt idx="21">
                  <c:v>2773</c:v>
                </c:pt>
                <c:pt idx="22">
                  <c:v>2979.25</c:v>
                </c:pt>
                <c:pt idx="23">
                  <c:v>3089</c:v>
                </c:pt>
                <c:pt idx="24">
                  <c:v>2515.75</c:v>
                </c:pt>
                <c:pt idx="25">
                  <c:v>2853.75</c:v>
                </c:pt>
                <c:pt idx="26">
                  <c:v>2906.5</c:v>
                </c:pt>
                <c:pt idx="27">
                  <c:v>3530.75</c:v>
                </c:pt>
                <c:pt idx="28">
                  <c:v>4659.75</c:v>
                </c:pt>
                <c:pt idx="29">
                  <c:v>4636.25</c:v>
                </c:pt>
                <c:pt idx="30">
                  <c:v>5070</c:v>
                </c:pt>
                <c:pt idx="31">
                  <c:v>4761.25</c:v>
                </c:pt>
                <c:pt idx="32">
                  <c:v>4194.5</c:v>
                </c:pt>
                <c:pt idx="33">
                  <c:v>4119.5</c:v>
                </c:pt>
                <c:pt idx="34">
                  <c:v>3332.75</c:v>
                </c:pt>
                <c:pt idx="35">
                  <c:v>2992</c:v>
                </c:pt>
                <c:pt idx="36">
                  <c:v>3618</c:v>
                </c:pt>
                <c:pt idx="37">
                  <c:v>3637.75</c:v>
                </c:pt>
                <c:pt idx="38">
                  <c:v>3993.5</c:v>
                </c:pt>
                <c:pt idx="39">
                  <c:v>4047.5</c:v>
                </c:pt>
                <c:pt idx="40">
                  <c:v>3655.25</c:v>
                </c:pt>
                <c:pt idx="41">
                  <c:v>3742.5</c:v>
                </c:pt>
                <c:pt idx="42">
                  <c:v>2945</c:v>
                </c:pt>
                <c:pt idx="43">
                  <c:v>3417</c:v>
                </c:pt>
                <c:pt idx="44">
                  <c:v>3092</c:v>
                </c:pt>
                <c:pt idx="45">
                  <c:v>2047.25</c:v>
                </c:pt>
                <c:pt idx="46">
                  <c:v>2653.25</c:v>
                </c:pt>
                <c:pt idx="47">
                  <c:v>2473</c:v>
                </c:pt>
                <c:pt idx="48">
                  <c:v>3018.5</c:v>
                </c:pt>
                <c:pt idx="49">
                  <c:v>3551.5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429483"/>
        <c:axId val="38580689"/>
      </c:lineChart>
      <c:catAx>
        <c:axId val="77429483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80689"/>
        <c:crosses val="autoZero"/>
        <c:auto val="1"/>
        <c:lblAlgn val="ctr"/>
        <c:lblOffset val="100"/>
        <c:noMultiLvlLbl val="0"/>
      </c:catAx>
      <c:valAx>
        <c:axId val="38580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294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ad spend vs net followers added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"Weeks"</c:f>
              <c:strCache>
                <c:ptCount val="1"/>
                <c:pt idx="0">
                  <c:v>Weeks</c:v>
                </c:pt>
              </c:strCache>
            </c:strRef>
          </c:tx>
          <c:spPr>
            <a:solidFill>
              <a:srgbClr val="ff3f6c"/>
            </a:solidFill>
            <a:ln w="47520">
              <a:noFill/>
            </a:ln>
          </c:spPr>
          <c:marker>
            <c:symbol val="circle"/>
            <c:size val="6"/>
            <c:spPr>
              <a:solidFill>
                <a:srgbClr val="ff3f6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Calc!$D$5:$D$54</c:f>
              <c:numCache>
                <c:formatCode>#,##0</c:formatCode>
                <c:ptCount val="50"/>
                <c:pt idx="0">
                  <c:v>72893</c:v>
                </c:pt>
                <c:pt idx="1">
                  <c:v>47961</c:v>
                </c:pt>
                <c:pt idx="2">
                  <c:v>104794</c:v>
                </c:pt>
                <c:pt idx="3">
                  <c:v>81748</c:v>
                </c:pt>
                <c:pt idx="4">
                  <c:v>87847</c:v>
                </c:pt>
                <c:pt idx="5">
                  <c:v>79341</c:v>
                </c:pt>
                <c:pt idx="6">
                  <c:v>115027</c:v>
                </c:pt>
                <c:pt idx="7">
                  <c:v>102610</c:v>
                </c:pt>
                <c:pt idx="8">
                  <c:v>76268</c:v>
                </c:pt>
                <c:pt idx="9">
                  <c:v>137514</c:v>
                </c:pt>
                <c:pt idx="10">
                  <c:v>125177</c:v>
                </c:pt>
                <c:pt idx="11">
                  <c:v>82193</c:v>
                </c:pt>
                <c:pt idx="12">
                  <c:v>94709</c:v>
                </c:pt>
                <c:pt idx="13">
                  <c:v>100656</c:v>
                </c:pt>
                <c:pt idx="14">
                  <c:v>92834</c:v>
                </c:pt>
                <c:pt idx="15">
                  <c:v>105113</c:v>
                </c:pt>
                <c:pt idx="16">
                  <c:v>75885</c:v>
                </c:pt>
                <c:pt idx="17">
                  <c:v>81889</c:v>
                </c:pt>
                <c:pt idx="18">
                  <c:v>117382</c:v>
                </c:pt>
                <c:pt idx="19">
                  <c:v>83598</c:v>
                </c:pt>
                <c:pt idx="20">
                  <c:v>140831</c:v>
                </c:pt>
                <c:pt idx="21">
                  <c:v>105800</c:v>
                </c:pt>
                <c:pt idx="22">
                  <c:v>94018</c:v>
                </c:pt>
                <c:pt idx="23">
                  <c:v>125961</c:v>
                </c:pt>
                <c:pt idx="24">
                  <c:v>97294</c:v>
                </c:pt>
                <c:pt idx="25">
                  <c:v>107714</c:v>
                </c:pt>
                <c:pt idx="26">
                  <c:v>106549</c:v>
                </c:pt>
                <c:pt idx="27">
                  <c:v>108811</c:v>
                </c:pt>
                <c:pt idx="28">
                  <c:v>102222</c:v>
                </c:pt>
                <c:pt idx="29">
                  <c:v>101698</c:v>
                </c:pt>
                <c:pt idx="30">
                  <c:v>78502</c:v>
                </c:pt>
                <c:pt idx="31">
                  <c:v>72926</c:v>
                </c:pt>
                <c:pt idx="32">
                  <c:v>113474</c:v>
                </c:pt>
                <c:pt idx="33">
                  <c:v>120060</c:v>
                </c:pt>
                <c:pt idx="34">
                  <c:v>109203</c:v>
                </c:pt>
                <c:pt idx="35">
                  <c:v>117419</c:v>
                </c:pt>
                <c:pt idx="36">
                  <c:v>94129</c:v>
                </c:pt>
                <c:pt idx="37">
                  <c:v>136582</c:v>
                </c:pt>
                <c:pt idx="38">
                  <c:v>120234</c:v>
                </c:pt>
                <c:pt idx="39">
                  <c:v>95341</c:v>
                </c:pt>
                <c:pt idx="40">
                  <c:v>53940</c:v>
                </c:pt>
                <c:pt idx="41">
                  <c:v>88465</c:v>
                </c:pt>
                <c:pt idx="42">
                  <c:v>111650</c:v>
                </c:pt>
                <c:pt idx="43">
                  <c:v>74375</c:v>
                </c:pt>
                <c:pt idx="44">
                  <c:v>132926</c:v>
                </c:pt>
                <c:pt idx="45">
                  <c:v>59981</c:v>
                </c:pt>
                <c:pt idx="46">
                  <c:v>49129</c:v>
                </c:pt>
                <c:pt idx="47">
                  <c:v>57130</c:v>
                </c:pt>
                <c:pt idx="48">
                  <c:v>105490</c:v>
                </c:pt>
                <c:pt idx="49">
                  <c:v>85623</c:v>
                </c:pt>
              </c:numCache>
            </c:numRef>
          </c:xVal>
          <c:yVal>
            <c:numRef>
              <c:f>Calc!$B$5:$B$54</c:f>
              <c:numCache>
                <c:formatCode>General</c:formatCode>
                <c:ptCount val="50"/>
                <c:pt idx="0">
                  <c:v>3554</c:v>
                </c:pt>
                <c:pt idx="1">
                  <c:v>2980</c:v>
                </c:pt>
                <c:pt idx="2">
                  <c:v>3907</c:v>
                </c:pt>
                <c:pt idx="3">
                  <c:v>3011</c:v>
                </c:pt>
                <c:pt idx="4">
                  <c:v>1293</c:v>
                </c:pt>
                <c:pt idx="5">
                  <c:v>3042</c:v>
                </c:pt>
                <c:pt idx="6">
                  <c:v>2270</c:v>
                </c:pt>
                <c:pt idx="7">
                  <c:v>2753</c:v>
                </c:pt>
                <c:pt idx="8">
                  <c:v>2193</c:v>
                </c:pt>
                <c:pt idx="9">
                  <c:v>802</c:v>
                </c:pt>
                <c:pt idx="10">
                  <c:v>3728</c:v>
                </c:pt>
                <c:pt idx="11">
                  <c:v>2989</c:v>
                </c:pt>
                <c:pt idx="12">
                  <c:v>2903</c:v>
                </c:pt>
                <c:pt idx="13">
                  <c:v>2822</c:v>
                </c:pt>
                <c:pt idx="14">
                  <c:v>4360</c:v>
                </c:pt>
                <c:pt idx="15">
                  <c:v>1568</c:v>
                </c:pt>
                <c:pt idx="16">
                  <c:v>3333</c:v>
                </c:pt>
                <c:pt idx="17">
                  <c:v>3151</c:v>
                </c:pt>
                <c:pt idx="18">
                  <c:v>3759</c:v>
                </c:pt>
                <c:pt idx="19">
                  <c:v>1856</c:v>
                </c:pt>
                <c:pt idx="20">
                  <c:v>2821</c:v>
                </c:pt>
                <c:pt idx="21">
                  <c:v>2656</c:v>
                </c:pt>
                <c:pt idx="22">
                  <c:v>4584</c:v>
                </c:pt>
                <c:pt idx="23">
                  <c:v>2295</c:v>
                </c:pt>
                <c:pt idx="24">
                  <c:v>528</c:v>
                </c:pt>
                <c:pt idx="25">
                  <c:v>4008</c:v>
                </c:pt>
                <c:pt idx="26">
                  <c:v>4795</c:v>
                </c:pt>
                <c:pt idx="27">
                  <c:v>4792</c:v>
                </c:pt>
                <c:pt idx="28">
                  <c:v>5044</c:v>
                </c:pt>
                <c:pt idx="29">
                  <c:v>3914</c:v>
                </c:pt>
                <c:pt idx="30">
                  <c:v>6530</c:v>
                </c:pt>
                <c:pt idx="31">
                  <c:v>3557</c:v>
                </c:pt>
                <c:pt idx="32">
                  <c:v>2777</c:v>
                </c:pt>
                <c:pt idx="33">
                  <c:v>3614</c:v>
                </c:pt>
                <c:pt idx="34">
                  <c:v>3383</c:v>
                </c:pt>
                <c:pt idx="35">
                  <c:v>2194</c:v>
                </c:pt>
                <c:pt idx="36">
                  <c:v>5281</c:v>
                </c:pt>
                <c:pt idx="37">
                  <c:v>3693</c:v>
                </c:pt>
                <c:pt idx="38">
                  <c:v>4806</c:v>
                </c:pt>
                <c:pt idx="39">
                  <c:v>2410</c:v>
                </c:pt>
                <c:pt idx="40">
                  <c:v>3712</c:v>
                </c:pt>
                <c:pt idx="41">
                  <c:v>4042</c:v>
                </c:pt>
                <c:pt idx="42">
                  <c:v>1616</c:v>
                </c:pt>
                <c:pt idx="43">
                  <c:v>4298</c:v>
                </c:pt>
                <c:pt idx="44">
                  <c:v>2412</c:v>
                </c:pt>
                <c:pt idx="45">
                  <c:v>-137</c:v>
                </c:pt>
                <c:pt idx="46">
                  <c:v>4040</c:v>
                </c:pt>
                <c:pt idx="47">
                  <c:v>3577</c:v>
                </c:pt>
                <c:pt idx="48">
                  <c:v>4594</c:v>
                </c:pt>
                <c:pt idx="49">
                  <c:v>1995</c:v>
                </c:pt>
              </c:numCache>
            </c:numRef>
          </c:yVal>
          <c:smooth val="1"/>
        </c:ser>
        <c:axId val="3759989"/>
        <c:axId val="29538958"/>
      </c:scatterChart>
      <c:valAx>
        <c:axId val="37599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Weekly ad spend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38958"/>
        <c:crosses val="autoZero"/>
        <c:crossBetween val="midCat"/>
      </c:valAx>
      <c:valAx>
        <c:axId val="295389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followers added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998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6</xdr:col>
      <xdr:colOff>57960</xdr:colOff>
      <xdr:row>38</xdr:row>
      <xdr:rowOff>150840</xdr:rowOff>
    </xdr:to>
    <xdr:graphicFrame>
      <xdr:nvGraphicFramePr>
        <xdr:cNvPr id="0" name="Chart 1"/>
        <xdr:cNvGraphicFramePr/>
      </xdr:nvGraphicFramePr>
      <xdr:xfrm>
        <a:off x="0" y="8134200"/>
        <a:ext cx="611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13</xdr:col>
      <xdr:colOff>621720</xdr:colOff>
      <xdr:row>38</xdr:row>
      <xdr:rowOff>150840</xdr:rowOff>
    </xdr:to>
    <xdr:graphicFrame>
      <xdr:nvGraphicFramePr>
        <xdr:cNvPr id="1" name="Chart 2"/>
        <xdr:cNvGraphicFramePr/>
      </xdr:nvGraphicFramePr>
      <xdr:xfrm>
        <a:off x="6977880" y="8134200"/>
        <a:ext cx="611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51</xdr:row>
      <xdr:rowOff>0</xdr:rowOff>
    </xdr:from>
    <xdr:to>
      <xdr:col>6</xdr:col>
      <xdr:colOff>57960</xdr:colOff>
      <xdr:row>64</xdr:row>
      <xdr:rowOff>151200</xdr:rowOff>
    </xdr:to>
    <xdr:graphicFrame>
      <xdr:nvGraphicFramePr>
        <xdr:cNvPr id="2" name="Chart 3"/>
        <xdr:cNvGraphicFramePr/>
      </xdr:nvGraphicFramePr>
      <xdr:xfrm>
        <a:off x="0" y="13534920"/>
        <a:ext cx="611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51</xdr:row>
      <xdr:rowOff>0</xdr:rowOff>
    </xdr:from>
    <xdr:to>
      <xdr:col>13</xdr:col>
      <xdr:colOff>621720</xdr:colOff>
      <xdr:row>64</xdr:row>
      <xdr:rowOff>151200</xdr:rowOff>
    </xdr:to>
    <xdr:graphicFrame>
      <xdr:nvGraphicFramePr>
        <xdr:cNvPr id="3" name="Chart 4"/>
        <xdr:cNvGraphicFramePr/>
      </xdr:nvGraphicFramePr>
      <xdr:xfrm>
        <a:off x="6977880" y="13534920"/>
        <a:ext cx="611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76</xdr:row>
      <xdr:rowOff>0</xdr:rowOff>
    </xdr:from>
    <xdr:to>
      <xdr:col>6</xdr:col>
      <xdr:colOff>57960</xdr:colOff>
      <xdr:row>89</xdr:row>
      <xdr:rowOff>151200</xdr:rowOff>
    </xdr:to>
    <xdr:graphicFrame>
      <xdr:nvGraphicFramePr>
        <xdr:cNvPr id="4" name="Chart 5"/>
        <xdr:cNvGraphicFramePr/>
      </xdr:nvGraphicFramePr>
      <xdr:xfrm>
        <a:off x="0" y="18745200"/>
        <a:ext cx="611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76</xdr:row>
      <xdr:rowOff>0</xdr:rowOff>
    </xdr:from>
    <xdr:to>
      <xdr:col>13</xdr:col>
      <xdr:colOff>621720</xdr:colOff>
      <xdr:row>89</xdr:row>
      <xdr:rowOff>151200</xdr:rowOff>
    </xdr:to>
    <xdr:graphicFrame>
      <xdr:nvGraphicFramePr>
        <xdr:cNvPr id="5" name="Chart 6"/>
        <xdr:cNvGraphicFramePr/>
      </xdr:nvGraphicFramePr>
      <xdr:xfrm>
        <a:off x="6977880" y="18745200"/>
        <a:ext cx="611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100</xdr:row>
      <xdr:rowOff>0</xdr:rowOff>
    </xdr:from>
    <xdr:to>
      <xdr:col>6</xdr:col>
      <xdr:colOff>57960</xdr:colOff>
      <xdr:row>113</xdr:row>
      <xdr:rowOff>151200</xdr:rowOff>
    </xdr:to>
    <xdr:graphicFrame>
      <xdr:nvGraphicFramePr>
        <xdr:cNvPr id="6" name="Chart 7"/>
        <xdr:cNvGraphicFramePr/>
      </xdr:nvGraphicFramePr>
      <xdr:xfrm>
        <a:off x="0" y="23765040"/>
        <a:ext cx="611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100</xdr:row>
      <xdr:rowOff>0</xdr:rowOff>
    </xdr:from>
    <xdr:to>
      <xdr:col>13</xdr:col>
      <xdr:colOff>621720</xdr:colOff>
      <xdr:row>113</xdr:row>
      <xdr:rowOff>151200</xdr:rowOff>
    </xdr:to>
    <xdr:graphicFrame>
      <xdr:nvGraphicFramePr>
        <xdr:cNvPr id="7" name="Chart 8"/>
        <xdr:cNvGraphicFramePr/>
      </xdr:nvGraphicFramePr>
      <xdr:xfrm>
        <a:off x="6977880" y="23765040"/>
        <a:ext cx="611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120</xdr:row>
      <xdr:rowOff>0</xdr:rowOff>
    </xdr:from>
    <xdr:to>
      <xdr:col>6</xdr:col>
      <xdr:colOff>57960</xdr:colOff>
      <xdr:row>133</xdr:row>
      <xdr:rowOff>151200</xdr:rowOff>
    </xdr:to>
    <xdr:graphicFrame>
      <xdr:nvGraphicFramePr>
        <xdr:cNvPr id="8" name="Chart 9"/>
        <xdr:cNvGraphicFramePr/>
      </xdr:nvGraphicFramePr>
      <xdr:xfrm>
        <a:off x="0" y="27984600"/>
        <a:ext cx="611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0</xdr:colOff>
      <xdr:row>120</xdr:row>
      <xdr:rowOff>0</xdr:rowOff>
    </xdr:from>
    <xdr:to>
      <xdr:col>13</xdr:col>
      <xdr:colOff>621720</xdr:colOff>
      <xdr:row>133</xdr:row>
      <xdr:rowOff>151200</xdr:rowOff>
    </xdr:to>
    <xdr:graphicFrame>
      <xdr:nvGraphicFramePr>
        <xdr:cNvPr id="9" name="Chart 10"/>
        <xdr:cNvGraphicFramePr/>
      </xdr:nvGraphicFramePr>
      <xdr:xfrm>
        <a:off x="6977880" y="27984600"/>
        <a:ext cx="611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14" min="2" style="0" width="1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B4" s="3" t="s">
        <v>2</v>
      </c>
      <c r="C4" s="4" t="s">
        <v>3</v>
      </c>
      <c r="E4" s="3" t="s">
        <v>4</v>
      </c>
      <c r="F4" s="4" t="s">
        <v>3</v>
      </c>
      <c r="G4" s="4"/>
      <c r="I4" s="5" t="s">
        <v>5</v>
      </c>
    </row>
    <row r="6" customFormat="false" ht="25.5" hidden="false" customHeight="true" outlineLevel="0" collapsed="false">
      <c r="A6" s="6" t="s">
        <v>6</v>
      </c>
      <c r="B6" s="6"/>
      <c r="C6" s="6" t="s">
        <v>7</v>
      </c>
      <c r="D6" s="6"/>
      <c r="E6" s="6" t="s">
        <v>8</v>
      </c>
      <c r="F6" s="6"/>
      <c r="G6" s="6" t="s">
        <v>9</v>
      </c>
      <c r="H6" s="6"/>
      <c r="I6" s="6" t="s">
        <v>10</v>
      </c>
      <c r="J6" s="6"/>
      <c r="K6" s="6" t="s">
        <v>11</v>
      </c>
      <c r="L6" s="6"/>
      <c r="M6" s="6" t="s">
        <v>12</v>
      </c>
      <c r="N6" s="6"/>
    </row>
    <row r="7" customFormat="false" ht="33.75" hidden="false" customHeight="true" outlineLevel="0" collapsed="false">
      <c r="A7" s="7" t="n">
        <f aca="false">COUNTIFS(Data_Posts!$B$2:$B$301,Calc!$B$1,Data_Posts!$N$2:$N$301,Calc!$B$2)</f>
        <v>300</v>
      </c>
      <c r="B7" s="7"/>
      <c r="C7" s="7" t="n">
        <f aca="false">SUMIFS(Data_Posts!$I$2:$I$301,Data_Posts!$B$2:$B$301,Calc!$B$1,Data_Posts!$N$2:$N$301,Calc!$B$2)</f>
        <v>10394153</v>
      </c>
      <c r="D7" s="7"/>
      <c r="E7" s="8" t="n">
        <f aca="false">IFERROR(AVERAGEIFS(Data_Posts!$P$2:$P$301,Data_Posts!$B$2:$B$301,Calc!$B$1,Data_Posts!$N$2:$N$301,Calc!$B$2),0)</f>
        <v>0.148282724798529</v>
      </c>
      <c r="F7" s="8"/>
      <c r="G7" s="8" t="n">
        <f aca="false">IFERROR(SUMIFS(Data_Posts!$O$2:$O$301,Data_Posts!$B$2:$B$301,Calc!$B$1,Data_Posts!$N$2:$N$301,Calc!$B$2)/SUMIFS(Data_Posts!$I$2:$I$301,Data_Posts!$B$2:$B$301,Calc!$B$1,Data_Posts!$N$2:$N$301,Calc!$B$2),0)</f>
        <v>0.0998414204601375</v>
      </c>
      <c r="H7" s="8"/>
      <c r="I7" s="9" t="n">
        <f aca="false">IFERROR(SUMIFS(Data_Posts!$K$2:$K$301,Data_Posts!$B$2:$B$301,Calc!$B$1,Data_Posts!$N$2:$N$301,Calc!$B$2)/SUMIFS(Data_Posts!$I$2:$I$301,Data_Posts!$B$2:$B$301,Calc!$B$1,Data_Posts!$N$2:$N$301,Calc!$B$2),0)</f>
        <v>0.00436456919577766</v>
      </c>
      <c r="J7" s="9"/>
      <c r="K7" s="7" t="n">
        <f aca="false">SUMIFS(Data_Weekly!$G$2:$G$201,Data_Weekly!$B$2:$B$201,Calc!$B$1)</f>
        <v>4832916</v>
      </c>
      <c r="L7" s="7"/>
      <c r="M7" s="7" t="n">
        <f aca="false">SUMIFS(Data_Weekly!$H$2:$H$201,Data_Weekly!$B$2:$B$201,Calc!$B$1)</f>
        <v>160105</v>
      </c>
      <c r="N7" s="7"/>
    </row>
    <row r="8" customFormat="false" ht="13.5" hidden="false" customHeight="true" outlineLevel="0" collapsed="false">
      <c r="A8" s="10" t="s">
        <v>13</v>
      </c>
      <c r="B8" s="10"/>
      <c r="C8" s="10" t="s">
        <v>13</v>
      </c>
      <c r="D8" s="10"/>
      <c r="E8" s="10" t="s">
        <v>14</v>
      </c>
      <c r="F8" s="10"/>
      <c r="G8" s="10" t="s">
        <v>15</v>
      </c>
      <c r="H8" s="10"/>
      <c r="I8" s="10" t="s">
        <v>16</v>
      </c>
      <c r="J8" s="10"/>
      <c r="K8" s="10" t="s">
        <v>17</v>
      </c>
      <c r="L8" s="10"/>
      <c r="M8" s="10" t="s">
        <v>18</v>
      </c>
      <c r="N8" s="10"/>
    </row>
    <row r="10" customFormat="false" ht="21.75" hidden="false" customHeight="true" outlineLevel="0" collapsed="false">
      <c r="A10" s="11" t="s">
        <v>19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customFormat="false" ht="43.5" hidden="false" customHeight="true" outlineLevel="0" collapsed="false">
      <c r="A11" s="12" t="s">
        <v>20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customFormat="false" ht="43.5" hidden="false" customHeight="true" outlineLevel="0" collapsed="false">
      <c r="A12" s="12" t="s">
        <v>21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customFormat="false" ht="43.5" hidden="false" customHeight="true" outlineLevel="0" collapsed="false">
      <c r="A13" s="12" t="s">
        <v>22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customFormat="false" ht="43.5" hidden="false" customHeight="true" outlineLevel="0" collapsed="false">
      <c r="A14" s="12" t="s">
        <v>23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customFormat="false" ht="43.5" hidden="false" customHeight="true" outlineLevel="0" collapsed="false">
      <c r="A15" s="12" t="s">
        <v>24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customFormat="false" ht="43.5" hidden="false" customHeight="true" outlineLevel="0" collapsed="false">
      <c r="A16" s="12" t="s">
        <v>25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8" customFormat="false" ht="21.75" hidden="false" customHeight="true" outlineLevel="0" collapsed="false">
      <c r="A18" s="11" t="s">
        <v>26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customFormat="false" ht="43.5" hidden="false" customHeight="true" outlineLevel="0" collapsed="false">
      <c r="A19" s="13" t="s">
        <v>2</v>
      </c>
      <c r="B19" s="13" t="s">
        <v>27</v>
      </c>
      <c r="C19" s="13" t="s">
        <v>28</v>
      </c>
      <c r="D19" s="13" t="s">
        <v>29</v>
      </c>
      <c r="E19" s="13" t="s">
        <v>30</v>
      </c>
      <c r="F19" s="13" t="s">
        <v>31</v>
      </c>
      <c r="G19" s="13" t="s">
        <v>32</v>
      </c>
      <c r="H19" s="13" t="s">
        <v>33</v>
      </c>
      <c r="I19" s="13" t="s">
        <v>34</v>
      </c>
      <c r="J19" s="13" t="s">
        <v>35</v>
      </c>
    </row>
    <row r="20" customFormat="false" ht="15" hidden="false" customHeight="false" outlineLevel="0" collapsed="false">
      <c r="A20" s="14" t="s">
        <v>36</v>
      </c>
      <c r="B20" s="15" t="n">
        <f aca="false">COUNTIFS(Data_Posts!$B$2:$B$301,$A20,Data_Posts!$N$2:$N$301,Calc!$B$2)</f>
        <v>83</v>
      </c>
      <c r="C20" s="15" t="n">
        <f aca="false">SUMIFS(Data_Posts!$I$2:$I$301,Data_Posts!$B$2:$B$301,$A20,Data_Posts!$N$2:$N$301,Calc!$B$2)</f>
        <v>3239154</v>
      </c>
      <c r="D20" s="16" t="n">
        <f aca="false">IFERROR(AVERAGEIFS(Data_Posts!$P$2:$P$301,Data_Posts!$B$2:$B$301,$A20,Data_Posts!$N$2:$N$301,Calc!$B$2),0)</f>
        <v>0.121972899561326</v>
      </c>
      <c r="E20" s="16" t="n">
        <f aca="false">IFERROR(SUMIFS(Data_Posts!$O$2:$O$301,Data_Posts!$B$2:$B$301,$A20,Data_Posts!$N$2:$N$301,Calc!$B$2)/C20,0)</f>
        <v>0.0942350996587381</v>
      </c>
      <c r="F20" s="15" t="n">
        <f aca="false">SUMIFS(Data_Posts!$K$2:$K$301,Data_Posts!$B$2:$B$301,$A20,Data_Posts!$N$2:$N$301,Calc!$B$2)</f>
        <v>12184</v>
      </c>
      <c r="G20" s="17" t="n">
        <f aca="false">IFERROR(F20/C20,0)</f>
        <v>0.00376147599033575</v>
      </c>
      <c r="H20" s="15" t="n">
        <f aca="false">SUMIFS(Data_Weekly!$G$2:$G$201,Data_Weekly!$B$2:$B$201,$A20)</f>
        <v>1379539</v>
      </c>
      <c r="I20" s="15" t="n">
        <f aca="false">SUMIFS(Data_Weekly!$H$2:$H$201,Data_Weekly!$B$2:$B$201,$A20)</f>
        <v>35557</v>
      </c>
      <c r="J20" s="18" t="n">
        <f aca="false">IFERROR(I20/H20*1000,0)</f>
        <v>25.7745522236051</v>
      </c>
    </row>
    <row r="21" customFormat="false" ht="15" hidden="false" customHeight="false" outlineLevel="0" collapsed="false">
      <c r="A21" s="14" t="s">
        <v>37</v>
      </c>
      <c r="B21" s="15" t="n">
        <f aca="false">COUNTIFS(Data_Posts!$B$2:$B$301,$A21,Data_Posts!$N$2:$N$301,Calc!$B$2)</f>
        <v>79</v>
      </c>
      <c r="C21" s="15" t="n">
        <f aca="false">SUMIFS(Data_Posts!$I$2:$I$301,Data_Posts!$B$2:$B$301,$A21,Data_Posts!$N$2:$N$301,Calc!$B$2)</f>
        <v>2325756</v>
      </c>
      <c r="D21" s="16" t="n">
        <f aca="false">IFERROR(AVERAGEIFS(Data_Posts!$P$2:$P$301,Data_Posts!$B$2:$B$301,$A21,Data_Posts!$N$2:$N$301,Calc!$B$2),0)</f>
        <v>0.193292576939235</v>
      </c>
      <c r="E21" s="16" t="n">
        <f aca="false">IFERROR(SUMIFS(Data_Posts!$O$2:$O$301,Data_Posts!$B$2:$B$301,$A21,Data_Posts!$N$2:$N$301,Calc!$B$2)/C21,0)</f>
        <v>0.113330461148977</v>
      </c>
      <c r="F21" s="15" t="n">
        <f aca="false">SUMIFS(Data_Posts!$K$2:$K$301,Data_Posts!$B$2:$B$301,$A21,Data_Posts!$N$2:$N$301,Calc!$B$2)</f>
        <v>12078</v>
      </c>
      <c r="G21" s="17" t="n">
        <f aca="false">IFERROR(F21/C21,0)</f>
        <v>0.00519315009829062</v>
      </c>
      <c r="H21" s="15" t="n">
        <f aca="false">SUMIFS(Data_Weekly!$G$2:$G$201,Data_Weekly!$B$2:$B$201,$A21)</f>
        <v>1164373</v>
      </c>
      <c r="I21" s="15" t="n">
        <f aca="false">SUMIFS(Data_Weekly!$H$2:$H$201,Data_Weekly!$B$2:$B$201,$A21)</f>
        <v>48004</v>
      </c>
      <c r="J21" s="18" t="n">
        <f aca="false">IFERROR(I21/H21*1000,0)</f>
        <v>41.2273386620954</v>
      </c>
    </row>
    <row r="22" customFormat="false" ht="15" hidden="false" customHeight="false" outlineLevel="0" collapsed="false">
      <c r="A22" s="14" t="s">
        <v>38</v>
      </c>
      <c r="B22" s="15" t="n">
        <f aca="false">COUNTIFS(Data_Posts!$B$2:$B$301,$A22,Data_Posts!$N$2:$N$301,Calc!$B$2)</f>
        <v>79</v>
      </c>
      <c r="C22" s="15" t="n">
        <f aca="false">SUMIFS(Data_Posts!$I$2:$I$301,Data_Posts!$B$2:$B$301,$A22,Data_Posts!$N$2:$N$301,Calc!$B$2)</f>
        <v>2560836</v>
      </c>
      <c r="D22" s="16" t="n">
        <f aca="false">IFERROR(AVERAGEIFS(Data_Posts!$P$2:$P$301,Data_Posts!$B$2:$B$301,$A22,Data_Posts!$N$2:$N$301,Calc!$B$2),0)</f>
        <v>0.143684074342079</v>
      </c>
      <c r="E22" s="16" t="n">
        <f aca="false">IFERROR(SUMIFS(Data_Posts!$O$2:$O$301,Data_Posts!$B$2:$B$301,$A22,Data_Posts!$N$2:$N$301,Calc!$B$2)/C22,0)</f>
        <v>0.0999693068982161</v>
      </c>
      <c r="F22" s="15" t="n">
        <f aca="false">SUMIFS(Data_Posts!$K$2:$K$301,Data_Posts!$B$2:$B$301,$A22,Data_Posts!$N$2:$N$301,Calc!$B$2)</f>
        <v>12398</v>
      </c>
      <c r="G22" s="17" t="n">
        <f aca="false">IFERROR(F22/C22,0)</f>
        <v>0.00484138773431801</v>
      </c>
      <c r="H22" s="15" t="n">
        <f aca="false">SUMIFS(Data_Weekly!$G$2:$G$201,Data_Weekly!$B$2:$B$201,$A22)</f>
        <v>1060357</v>
      </c>
      <c r="I22" s="15" t="n">
        <f aca="false">SUMIFS(Data_Weekly!$H$2:$H$201,Data_Weekly!$B$2:$B$201,$A22)</f>
        <v>41177</v>
      </c>
      <c r="J22" s="18" t="n">
        <f aca="false">IFERROR(I22/H22*1000,0)</f>
        <v>38.833147704028</v>
      </c>
    </row>
    <row r="23" customFormat="false" ht="15" hidden="false" customHeight="false" outlineLevel="0" collapsed="false">
      <c r="A23" s="14" t="s">
        <v>39</v>
      </c>
      <c r="B23" s="15" t="n">
        <f aca="false">COUNTIFS(Data_Posts!$B$2:$B$301,$A23,Data_Posts!$N$2:$N$301,Calc!$B$2)</f>
        <v>59</v>
      </c>
      <c r="C23" s="15" t="n">
        <f aca="false">SUMIFS(Data_Posts!$I$2:$I$301,Data_Posts!$B$2:$B$301,$A23,Data_Posts!$N$2:$N$301,Calc!$B$2)</f>
        <v>2268407</v>
      </c>
      <c r="D23" s="16" t="n">
        <f aca="false">IFERROR(AVERAGEIFS(Data_Posts!$P$2:$P$301,Data_Posts!$B$2:$B$301,$A23,Data_Posts!$N$2:$N$301,Calc!$B$2),0)</f>
        <v>0.131184937707538</v>
      </c>
      <c r="E23" s="16" t="n">
        <f aca="false">IFERROR(SUMIFS(Data_Posts!$O$2:$O$301,Data_Posts!$B$2:$B$301,$A23,Data_Posts!$N$2:$N$301,Calc!$B$2)/C23,0)</f>
        <v>0.093872484082442</v>
      </c>
      <c r="F23" s="15" t="n">
        <f aca="false">SUMIFS(Data_Posts!$K$2:$K$301,Data_Posts!$B$2:$B$301,$A23,Data_Posts!$N$2:$N$301,Calc!$B$2)</f>
        <v>8706</v>
      </c>
      <c r="G23" s="17" t="n">
        <f aca="false">IFERROR(F23/C23,0)</f>
        <v>0.00383793560855702</v>
      </c>
      <c r="H23" s="15" t="n">
        <f aca="false">SUMIFS(Data_Weekly!$G$2:$G$201,Data_Weekly!$B$2:$B$201,$A23)</f>
        <v>1228647</v>
      </c>
      <c r="I23" s="15" t="n">
        <f aca="false">SUMIFS(Data_Weekly!$H$2:$H$201,Data_Weekly!$B$2:$B$201,$A23)</f>
        <v>35367</v>
      </c>
      <c r="J23" s="18" t="n">
        <f aca="false">IFERROR(I23/H23*1000,0)</f>
        <v>28.7853223912157</v>
      </c>
    </row>
    <row r="24" customFormat="false" ht="15" hidden="false" customHeight="false" outlineLevel="0" collapsed="false">
      <c r="A24" s="19" t="s">
        <v>40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42" customFormat="false" ht="21.75" hidden="false" customHeight="true" outlineLevel="0" collapsed="false">
      <c r="A42" s="11" t="s">
        <v>41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customFormat="false" ht="43.5" hidden="false" customHeight="true" outlineLevel="0" collapsed="false">
      <c r="A43" s="13" t="s">
        <v>42</v>
      </c>
      <c r="B43" s="13" t="s">
        <v>27</v>
      </c>
      <c r="C43" s="13" t="s">
        <v>29</v>
      </c>
      <c r="D43" s="13" t="s">
        <v>30</v>
      </c>
      <c r="E43" s="13" t="s">
        <v>43</v>
      </c>
      <c r="F43" s="13" t="s">
        <v>44</v>
      </c>
      <c r="G43" s="13" t="s">
        <v>45</v>
      </c>
      <c r="H43" s="13" t="s">
        <v>46</v>
      </c>
      <c r="J43" s="13" t="s">
        <v>47</v>
      </c>
      <c r="K43" s="13" t="s">
        <v>36</v>
      </c>
      <c r="L43" s="13" t="s">
        <v>37</v>
      </c>
      <c r="M43" s="13" t="s">
        <v>38</v>
      </c>
      <c r="N43" s="13" t="s">
        <v>39</v>
      </c>
    </row>
    <row r="44" customFormat="false" ht="15" hidden="false" customHeight="false" outlineLevel="0" collapsed="false">
      <c r="A44" s="14" t="s">
        <v>48</v>
      </c>
      <c r="B44" s="15" t="n">
        <f aca="false">COUNTIFS(Data_Posts!$D$2:$D$301,$A44,Data_Posts!$B$2:$B$301,Calc!$B$1,Data_Posts!$N$2:$N$301,Calc!$B$2)</f>
        <v>59</v>
      </c>
      <c r="C44" s="16" t="n">
        <f aca="false">IFERROR(AVERAGEIFS(Data_Posts!$P$2:$P$301,Data_Posts!$D$2:$D$301,$A44,Data_Posts!$B$2:$B$301,Calc!$B$1,Data_Posts!$N$2:$N$301,Calc!$B$2),0)</f>
        <v>0.1481491993415</v>
      </c>
      <c r="D44" s="16" t="n">
        <f aca="false">IFERROR(SUMIFS(Data_Posts!$O$2:$O$301,Data_Posts!$D$2:$D$301,$A44,Data_Posts!$B$2:$B$301,Calc!$B$1,Data_Posts!$N$2:$N$301,Calc!$B$2)/SUMIFS(Data_Posts!$I$2:$I$301,Data_Posts!$D$2:$D$301,$A44,Data_Posts!$B$2:$B$301,Calc!$B$1,Data_Posts!$N$2:$N$301,Calc!$B$2),0)</f>
        <v>0.0959828025571077</v>
      </c>
      <c r="E44" s="15" t="n">
        <f aca="false">IFERROR(AVERAGEIFS(Data_Posts!$F$2:$F$301,Data_Posts!$D$2:$D$301,$A44,Data_Posts!$B$2:$B$301,Calc!$B$1,Data_Posts!$N$2:$N$301,Calc!$B$2),0)</f>
        <v>2745.74576271186</v>
      </c>
      <c r="F44" s="15" t="n">
        <f aca="false">IFERROR(AVERAGEIFS(Data_Posts!$G$2:$G$301,Data_Posts!$D$2:$D$301,$A44,Data_Posts!$B$2:$B$301,Calc!$B$1,Data_Posts!$N$2:$N$301,Calc!$B$2),0)</f>
        <v>448.661016949153</v>
      </c>
      <c r="G44" s="15" t="n">
        <f aca="false">IFERROR(AVERAGEIFS(Data_Posts!$H$2:$H$301,Data_Posts!$D$2:$D$301,$A44,Data_Posts!$B$2:$B$301,Calc!$B$1,Data_Posts!$N$2:$N$301,Calc!$B$2),0)</f>
        <v>245.898305084746</v>
      </c>
      <c r="H44" s="15" t="n">
        <f aca="false">IFERROR(AVERAGEIFS(Data_Posts!$K$2:$K$301,Data_Posts!$D$2:$D$301,$A44,Data_Posts!$B$2:$B$301,Calc!$B$1,Data_Posts!$N$2:$N$301,Calc!$B$2),0)</f>
        <v>156.813559322034</v>
      </c>
      <c r="J44" s="14" t="s">
        <v>48</v>
      </c>
      <c r="K44" s="16" t="n">
        <f aca="false">IFERROR(AVERAGEIFS(Data_Posts!$P$2:$P$301,Data_Posts!$D$2:$D$301,$J44,Data_Posts!$B$2:$B$301,K$43,Data_Posts!$N$2:$N$301,Calc!$B$2),0)</f>
        <v>0.118205898156044</v>
      </c>
      <c r="L44" s="16" t="n">
        <f aca="false">IFERROR(AVERAGEIFS(Data_Posts!$P$2:$P$301,Data_Posts!$D$2:$D$301,$J44,Data_Posts!$B$2:$B$301,L$43,Data_Posts!$N$2:$N$301,Calc!$B$2),0)</f>
        <v>0.14439860032256</v>
      </c>
      <c r="M44" s="16" t="n">
        <f aca="false">IFERROR(AVERAGEIFS(Data_Posts!$P$2:$P$301,Data_Posts!$D$2:$D$301,$J44,Data_Posts!$B$2:$B$301,M$43,Data_Posts!$N$2:$N$301,Calc!$B$2),0)</f>
        <v>0.159724882399145</v>
      </c>
      <c r="N44" s="16" t="n">
        <f aca="false">IFERROR(AVERAGEIFS(Data_Posts!$P$2:$P$301,Data_Posts!$D$2:$D$301,$J44,Data_Posts!$B$2:$B$301,N$43,Data_Posts!$N$2:$N$301,Calc!$B$2),0)</f>
        <v>0.174165543699535</v>
      </c>
    </row>
    <row r="45" customFormat="false" ht="15" hidden="false" customHeight="false" outlineLevel="0" collapsed="false">
      <c r="A45" s="14" t="s">
        <v>49</v>
      </c>
      <c r="B45" s="15" t="n">
        <f aca="false">COUNTIFS(Data_Posts!$D$2:$D$301,$A45,Data_Posts!$B$2:$B$301,Calc!$B$1,Data_Posts!$N$2:$N$301,Calc!$B$2)</f>
        <v>63</v>
      </c>
      <c r="C45" s="16" t="n">
        <f aca="false">IFERROR(AVERAGEIFS(Data_Posts!$P$2:$P$301,Data_Posts!$D$2:$D$301,$A45,Data_Posts!$B$2:$B$301,Calc!$B$1,Data_Posts!$N$2:$N$301,Calc!$B$2),0)</f>
        <v>0.136874940548697</v>
      </c>
      <c r="D45" s="16" t="n">
        <f aca="false">IFERROR(SUMIFS(Data_Posts!$O$2:$O$301,Data_Posts!$D$2:$D$301,$A45,Data_Posts!$B$2:$B$301,Calc!$B$1,Data_Posts!$N$2:$N$301,Calc!$B$2)/SUMIFS(Data_Posts!$I$2:$I$301,Data_Posts!$D$2:$D$301,$A45,Data_Posts!$B$2:$B$301,Calc!$B$1,Data_Posts!$N$2:$N$301,Calc!$B$2),0)</f>
        <v>0.0970824818393421</v>
      </c>
      <c r="E45" s="15" t="n">
        <f aca="false">IFERROR(AVERAGEIFS(Data_Posts!$F$2:$F$301,Data_Posts!$D$2:$D$301,$A45,Data_Posts!$B$2:$B$301,Calc!$B$1,Data_Posts!$N$2:$N$301,Calc!$B$2),0)</f>
        <v>2753.46031746032</v>
      </c>
      <c r="F45" s="15" t="n">
        <f aca="false">IFERROR(AVERAGEIFS(Data_Posts!$G$2:$G$301,Data_Posts!$D$2:$D$301,$A45,Data_Posts!$B$2:$B$301,Calc!$B$1,Data_Posts!$N$2:$N$301,Calc!$B$2),0)</f>
        <v>470</v>
      </c>
      <c r="G45" s="15" t="n">
        <f aca="false">IFERROR(AVERAGEIFS(Data_Posts!$H$2:$H$301,Data_Posts!$D$2:$D$301,$A45,Data_Posts!$B$2:$B$301,Calc!$B$1,Data_Posts!$N$2:$N$301,Calc!$B$2),0)</f>
        <v>259.555555555556</v>
      </c>
      <c r="H45" s="15" t="n">
        <f aca="false">IFERROR(AVERAGEIFS(Data_Posts!$K$2:$K$301,Data_Posts!$D$2:$D$301,$A45,Data_Posts!$B$2:$B$301,Calc!$B$1,Data_Posts!$N$2:$N$301,Calc!$B$2),0)</f>
        <v>163.587301587302</v>
      </c>
      <c r="J45" s="14" t="s">
        <v>49</v>
      </c>
      <c r="K45" s="16" t="n">
        <f aca="false">IFERROR(AVERAGEIFS(Data_Posts!$P$2:$P$301,Data_Posts!$D$2:$D$301,$J45,Data_Posts!$B$2:$B$301,K$43,Data_Posts!$N$2:$N$301,Calc!$B$2),0)</f>
        <v>0.118926829751331</v>
      </c>
      <c r="L45" s="16" t="n">
        <f aca="false">IFERROR(AVERAGEIFS(Data_Posts!$P$2:$P$301,Data_Posts!$D$2:$D$301,$J45,Data_Posts!$B$2:$B$301,L$43,Data_Posts!$N$2:$N$301,Calc!$B$2),0)</f>
        <v>0.149298624840253</v>
      </c>
      <c r="M45" s="16" t="n">
        <f aca="false">IFERROR(AVERAGEIFS(Data_Posts!$P$2:$P$301,Data_Posts!$D$2:$D$301,$J45,Data_Posts!$B$2:$B$301,M$43,Data_Posts!$N$2:$N$301,Calc!$B$2),0)</f>
        <v>0.147566481913773</v>
      </c>
      <c r="N45" s="16" t="n">
        <f aca="false">IFERROR(AVERAGEIFS(Data_Posts!$P$2:$P$301,Data_Posts!$D$2:$D$301,$J45,Data_Posts!$B$2:$B$301,N$43,Data_Posts!$N$2:$N$301,Calc!$B$2),0)</f>
        <v>0.150355678446714</v>
      </c>
    </row>
    <row r="46" customFormat="false" ht="15" hidden="false" customHeight="false" outlineLevel="0" collapsed="false">
      <c r="A46" s="14" t="s">
        <v>50</v>
      </c>
      <c r="B46" s="15" t="n">
        <f aca="false">COUNTIFS(Data_Posts!$D$2:$D$301,$A46,Data_Posts!$B$2:$B$301,Calc!$B$1,Data_Posts!$N$2:$N$301,Calc!$B$2)</f>
        <v>47</v>
      </c>
      <c r="C46" s="16" t="n">
        <f aca="false">IFERROR(AVERAGEIFS(Data_Posts!$P$2:$P$301,Data_Posts!$D$2:$D$301,$A46,Data_Posts!$B$2:$B$301,Calc!$B$1,Data_Posts!$N$2:$N$301,Calc!$B$2),0)</f>
        <v>0.15615682164329</v>
      </c>
      <c r="D46" s="16" t="n">
        <f aca="false">IFERROR(SUMIFS(Data_Posts!$O$2:$O$301,Data_Posts!$D$2:$D$301,$A46,Data_Posts!$B$2:$B$301,Calc!$B$1,Data_Posts!$N$2:$N$301,Calc!$B$2)/SUMIFS(Data_Posts!$I$2:$I$301,Data_Posts!$D$2:$D$301,$A46,Data_Posts!$B$2:$B$301,Calc!$B$1,Data_Posts!$N$2:$N$301,Calc!$B$2),0)</f>
        <v>0.0981201677028312</v>
      </c>
      <c r="E46" s="15" t="n">
        <f aca="false">IFERROR(AVERAGEIFS(Data_Posts!$F$2:$F$301,Data_Posts!$D$2:$D$301,$A46,Data_Posts!$B$2:$B$301,Calc!$B$1,Data_Posts!$N$2:$N$301,Calc!$B$2),0)</f>
        <v>2722.23404255319</v>
      </c>
      <c r="F46" s="15" t="n">
        <f aca="false">IFERROR(AVERAGEIFS(Data_Posts!$G$2:$G$301,Data_Posts!$D$2:$D$301,$A46,Data_Posts!$B$2:$B$301,Calc!$B$1,Data_Posts!$N$2:$N$301,Calc!$B$2),0)</f>
        <v>493.63829787234</v>
      </c>
      <c r="G46" s="15" t="n">
        <f aca="false">IFERROR(AVERAGEIFS(Data_Posts!$H$2:$H$301,Data_Posts!$D$2:$D$301,$A46,Data_Posts!$B$2:$B$301,Calc!$B$1,Data_Posts!$N$2:$N$301,Calc!$B$2),0)</f>
        <v>240.851063829787</v>
      </c>
      <c r="H46" s="15" t="n">
        <f aca="false">IFERROR(AVERAGEIFS(Data_Posts!$K$2:$K$301,Data_Posts!$D$2:$D$301,$A46,Data_Posts!$B$2:$B$301,Calc!$B$1,Data_Posts!$N$2:$N$301,Calc!$B$2),0)</f>
        <v>152.659574468085</v>
      </c>
      <c r="J46" s="14" t="s">
        <v>50</v>
      </c>
      <c r="K46" s="16" t="n">
        <f aca="false">IFERROR(AVERAGEIFS(Data_Posts!$P$2:$P$301,Data_Posts!$D$2:$D$301,$J46,Data_Posts!$B$2:$B$301,K$43,Data_Posts!$N$2:$N$301,Calc!$B$2),0)</f>
        <v>0.108102481599856</v>
      </c>
      <c r="L46" s="16" t="n">
        <f aca="false">IFERROR(AVERAGEIFS(Data_Posts!$P$2:$P$301,Data_Posts!$D$2:$D$301,$J46,Data_Posts!$B$2:$B$301,L$43,Data_Posts!$N$2:$N$301,Calc!$B$2),0)</f>
        <v>0.26004033206334</v>
      </c>
      <c r="M46" s="16" t="n">
        <f aca="false">IFERROR(AVERAGEIFS(Data_Posts!$P$2:$P$301,Data_Posts!$D$2:$D$301,$J46,Data_Posts!$B$2:$B$301,M$43,Data_Posts!$N$2:$N$301,Calc!$B$2),0)</f>
        <v>0.124280815694279</v>
      </c>
      <c r="N46" s="16" t="n">
        <f aca="false">IFERROR(AVERAGEIFS(Data_Posts!$P$2:$P$301,Data_Posts!$D$2:$D$301,$J46,Data_Posts!$B$2:$B$301,N$43,Data_Posts!$N$2:$N$301,Calc!$B$2),0)</f>
        <v>0.116885835847976</v>
      </c>
    </row>
    <row r="47" customFormat="false" ht="15" hidden="false" customHeight="false" outlineLevel="0" collapsed="false">
      <c r="A47" s="14" t="s">
        <v>51</v>
      </c>
      <c r="B47" s="15" t="n">
        <f aca="false">COUNTIFS(Data_Posts!$D$2:$D$301,$A47,Data_Posts!$B$2:$B$301,Calc!$B$1,Data_Posts!$N$2:$N$301,Calc!$B$2)</f>
        <v>46</v>
      </c>
      <c r="C47" s="16" t="n">
        <f aca="false">IFERROR(AVERAGEIFS(Data_Posts!$P$2:$P$301,Data_Posts!$D$2:$D$301,$A47,Data_Posts!$B$2:$B$301,Calc!$B$1,Data_Posts!$N$2:$N$301,Calc!$B$2),0)</f>
        <v>0.184257753841634</v>
      </c>
      <c r="D47" s="16" t="n">
        <f aca="false">IFERROR(SUMIFS(Data_Posts!$O$2:$O$301,Data_Posts!$D$2:$D$301,$A47,Data_Posts!$B$2:$B$301,Calc!$B$1,Data_Posts!$N$2:$N$301,Calc!$B$2)/SUMIFS(Data_Posts!$I$2:$I$301,Data_Posts!$D$2:$D$301,$A47,Data_Posts!$B$2:$B$301,Calc!$B$1,Data_Posts!$N$2:$N$301,Calc!$B$2),0)</f>
        <v>0.10843166812548</v>
      </c>
      <c r="E47" s="15" t="n">
        <f aca="false">IFERROR(AVERAGEIFS(Data_Posts!$F$2:$F$301,Data_Posts!$D$2:$D$301,$A47,Data_Posts!$B$2:$B$301,Calc!$B$1,Data_Posts!$N$2:$N$301,Calc!$B$2),0)</f>
        <v>2706.26086956522</v>
      </c>
      <c r="F47" s="15" t="n">
        <f aca="false">IFERROR(AVERAGEIFS(Data_Posts!$G$2:$G$301,Data_Posts!$D$2:$D$301,$A47,Data_Posts!$B$2:$B$301,Calc!$B$1,Data_Posts!$N$2:$N$301,Calc!$B$2),0)</f>
        <v>520.760869565217</v>
      </c>
      <c r="G47" s="15" t="n">
        <f aca="false">IFERROR(AVERAGEIFS(Data_Posts!$H$2:$H$301,Data_Posts!$D$2:$D$301,$A47,Data_Posts!$B$2:$B$301,Calc!$B$1,Data_Posts!$N$2:$N$301,Calc!$B$2),0)</f>
        <v>263.195652173913</v>
      </c>
      <c r="H47" s="15" t="n">
        <f aca="false">IFERROR(AVERAGEIFS(Data_Posts!$K$2:$K$301,Data_Posts!$D$2:$D$301,$A47,Data_Posts!$B$2:$B$301,Calc!$B$1,Data_Posts!$N$2:$N$301,Calc!$B$2),0)</f>
        <v>131.695652173913</v>
      </c>
      <c r="J47" s="14" t="s">
        <v>51</v>
      </c>
      <c r="K47" s="16" t="n">
        <f aca="false">IFERROR(AVERAGEIFS(Data_Posts!$P$2:$P$301,Data_Posts!$D$2:$D$301,$J47,Data_Posts!$B$2:$B$301,K$43,Data_Posts!$N$2:$N$301,Calc!$B$2),0)</f>
        <v>0.158989777779885</v>
      </c>
      <c r="L47" s="16" t="n">
        <f aca="false">IFERROR(AVERAGEIFS(Data_Posts!$P$2:$P$301,Data_Posts!$D$2:$D$301,$J47,Data_Posts!$B$2:$B$301,L$43,Data_Posts!$N$2:$N$301,Calc!$B$2),0)</f>
        <v>0.245582742535436</v>
      </c>
      <c r="M47" s="16" t="n">
        <f aca="false">IFERROR(AVERAGEIFS(Data_Posts!$P$2:$P$301,Data_Posts!$D$2:$D$301,$J47,Data_Posts!$B$2:$B$301,M$43,Data_Posts!$N$2:$N$301,Calc!$B$2),0)</f>
        <v>0.188597169433194</v>
      </c>
      <c r="N47" s="16" t="n">
        <f aca="false">IFERROR(AVERAGEIFS(Data_Posts!$P$2:$P$301,Data_Posts!$D$2:$D$301,$J47,Data_Posts!$B$2:$B$301,N$43,Data_Posts!$N$2:$N$301,Calc!$B$2),0)</f>
        <v>0.0949653303483608</v>
      </c>
    </row>
    <row r="48" customFormat="false" ht="15" hidden="false" customHeight="false" outlineLevel="0" collapsed="false">
      <c r="A48" s="14" t="s">
        <v>52</v>
      </c>
      <c r="B48" s="15" t="n">
        <f aca="false">COUNTIFS(Data_Posts!$D$2:$D$301,$A48,Data_Posts!$B$2:$B$301,Calc!$B$1,Data_Posts!$N$2:$N$301,Calc!$B$2)</f>
        <v>42</v>
      </c>
      <c r="C48" s="16" t="n">
        <f aca="false">IFERROR(AVERAGEIFS(Data_Posts!$P$2:$P$301,Data_Posts!$D$2:$D$301,$A48,Data_Posts!$B$2:$B$301,Calc!$B$1,Data_Posts!$N$2:$N$301,Calc!$B$2),0)</f>
        <v>0.117506738235066</v>
      </c>
      <c r="D48" s="16" t="n">
        <f aca="false">IFERROR(SUMIFS(Data_Posts!$O$2:$O$301,Data_Posts!$D$2:$D$301,$A48,Data_Posts!$B$2:$B$301,Calc!$B$1,Data_Posts!$N$2:$N$301,Calc!$B$2)/SUMIFS(Data_Posts!$I$2:$I$301,Data_Posts!$D$2:$D$301,$A48,Data_Posts!$B$2:$B$301,Calc!$B$1,Data_Posts!$N$2:$N$301,Calc!$B$2),0)</f>
        <v>0.0982628348794765</v>
      </c>
      <c r="E48" s="15" t="n">
        <f aca="false">IFERROR(AVERAGEIFS(Data_Posts!$F$2:$F$301,Data_Posts!$D$2:$D$301,$A48,Data_Posts!$B$2:$B$301,Calc!$B$1,Data_Posts!$N$2:$N$301,Calc!$B$2),0)</f>
        <v>2773.71428571429</v>
      </c>
      <c r="F48" s="15" t="n">
        <f aca="false">IFERROR(AVERAGEIFS(Data_Posts!$G$2:$G$301,Data_Posts!$D$2:$D$301,$A48,Data_Posts!$B$2:$B$301,Calc!$B$1,Data_Posts!$N$2:$N$301,Calc!$B$2),0)</f>
        <v>445.071428571429</v>
      </c>
      <c r="G48" s="15" t="n">
        <f aca="false">IFERROR(AVERAGEIFS(Data_Posts!$H$2:$H$301,Data_Posts!$D$2:$D$301,$A48,Data_Posts!$B$2:$B$301,Calc!$B$1,Data_Posts!$N$2:$N$301,Calc!$B$2),0)</f>
        <v>244.880952380952</v>
      </c>
      <c r="H48" s="15" t="n">
        <f aca="false">IFERROR(AVERAGEIFS(Data_Posts!$K$2:$K$301,Data_Posts!$D$2:$D$301,$A48,Data_Posts!$B$2:$B$301,Calc!$B$1,Data_Posts!$N$2:$N$301,Calc!$B$2),0)</f>
        <v>163.404761904762</v>
      </c>
      <c r="J48" s="14" t="s">
        <v>52</v>
      </c>
      <c r="K48" s="16" t="n">
        <f aca="false">IFERROR(AVERAGEIFS(Data_Posts!$P$2:$P$301,Data_Posts!$D$2:$D$301,$J48,Data_Posts!$B$2:$B$301,K$43,Data_Posts!$N$2:$N$301,Calc!$B$2),0)</f>
        <v>0.107439512855128</v>
      </c>
      <c r="L48" s="16" t="n">
        <f aca="false">IFERROR(AVERAGEIFS(Data_Posts!$P$2:$P$301,Data_Posts!$D$2:$D$301,$J48,Data_Posts!$B$2:$B$301,L$43,Data_Posts!$N$2:$N$301,Calc!$B$2),0)</f>
        <v>0.129204491041902</v>
      </c>
      <c r="M48" s="16" t="n">
        <f aca="false">IFERROR(AVERAGEIFS(Data_Posts!$P$2:$P$301,Data_Posts!$D$2:$D$301,$J48,Data_Posts!$B$2:$B$301,M$43,Data_Posts!$N$2:$N$301,Calc!$B$2),0)</f>
        <v>0.120889729027265</v>
      </c>
      <c r="N48" s="16" t="n">
        <f aca="false">IFERROR(AVERAGEIFS(Data_Posts!$P$2:$P$301,Data_Posts!$D$2:$D$301,$J48,Data_Posts!$B$2:$B$301,N$43,Data_Posts!$N$2:$N$301,Calc!$B$2),0)</f>
        <v>0.114592176129644</v>
      </c>
    </row>
    <row r="49" customFormat="false" ht="15" hidden="false" customHeight="false" outlineLevel="0" collapsed="false">
      <c r="A49" s="14" t="s">
        <v>53</v>
      </c>
      <c r="B49" s="15" t="n">
        <f aca="false">COUNTIFS(Data_Posts!$D$2:$D$301,$A49,Data_Posts!$B$2:$B$301,Calc!$B$1,Data_Posts!$N$2:$N$301,Calc!$B$2)</f>
        <v>43</v>
      </c>
      <c r="C49" s="16" t="n">
        <f aca="false">IFERROR(AVERAGEIFS(Data_Posts!$P$2:$P$301,Data_Posts!$D$2:$D$301,$A49,Data_Posts!$B$2:$B$301,Calc!$B$1,Data_Posts!$N$2:$N$301,Calc!$B$2),0)</f>
        <v>0.148148444744643</v>
      </c>
      <c r="D49" s="16" t="n">
        <f aca="false">IFERROR(SUMIFS(Data_Posts!$O$2:$O$301,Data_Posts!$D$2:$D$301,$A49,Data_Posts!$B$2:$B$301,Calc!$B$1,Data_Posts!$N$2:$N$301,Calc!$B$2)/SUMIFS(Data_Posts!$I$2:$I$301,Data_Posts!$D$2:$D$301,$A49,Data_Posts!$B$2:$B$301,Calc!$B$1,Data_Posts!$N$2:$N$301,Calc!$B$2),0)</f>
        <v>0.104736082813881</v>
      </c>
      <c r="E49" s="15" t="n">
        <f aca="false">IFERROR(AVERAGEIFS(Data_Posts!$F$2:$F$301,Data_Posts!$D$2:$D$301,$A49,Data_Posts!$B$2:$B$301,Calc!$B$1,Data_Posts!$N$2:$N$301,Calc!$B$2),0)</f>
        <v>2688.25581395349</v>
      </c>
      <c r="F49" s="15" t="n">
        <f aca="false">IFERROR(AVERAGEIFS(Data_Posts!$G$2:$G$301,Data_Posts!$D$2:$D$301,$A49,Data_Posts!$B$2:$B$301,Calc!$B$1,Data_Posts!$N$2:$N$301,Calc!$B$2),0)</f>
        <v>488.255813953488</v>
      </c>
      <c r="G49" s="15" t="n">
        <f aca="false">IFERROR(AVERAGEIFS(Data_Posts!$H$2:$H$301,Data_Posts!$D$2:$D$301,$A49,Data_Posts!$B$2:$B$301,Calc!$B$1,Data_Posts!$N$2:$N$301,Calc!$B$2),0)</f>
        <v>239.046511627907</v>
      </c>
      <c r="H49" s="15" t="n">
        <f aca="false">IFERROR(AVERAGEIFS(Data_Posts!$K$2:$K$301,Data_Posts!$D$2:$D$301,$A49,Data_Posts!$B$2:$B$301,Calc!$B$1,Data_Posts!$N$2:$N$301,Calc!$B$2),0)</f>
        <v>132.837209302326</v>
      </c>
      <c r="J49" s="14" t="s">
        <v>53</v>
      </c>
      <c r="K49" s="16" t="n">
        <f aca="false">IFERROR(AVERAGEIFS(Data_Posts!$P$2:$P$301,Data_Posts!$D$2:$D$301,$J49,Data_Posts!$B$2:$B$301,K$43,Data_Posts!$N$2:$N$301,Calc!$B$2),0)</f>
        <v>0.128996536147592</v>
      </c>
      <c r="L49" s="16" t="n">
        <f aca="false">IFERROR(AVERAGEIFS(Data_Posts!$P$2:$P$301,Data_Posts!$D$2:$D$301,$J49,Data_Posts!$B$2:$B$301,L$43,Data_Posts!$N$2:$N$301,Calc!$B$2),0)</f>
        <v>0.206239606164054</v>
      </c>
      <c r="M49" s="16" t="n">
        <f aca="false">IFERROR(AVERAGEIFS(Data_Posts!$P$2:$P$301,Data_Posts!$D$2:$D$301,$J49,Data_Posts!$B$2:$B$301,M$43,Data_Posts!$N$2:$N$301,Calc!$B$2),0)</f>
        <v>0.119808766586779</v>
      </c>
      <c r="N49" s="16" t="n">
        <f aca="false">IFERROR(AVERAGEIFS(Data_Posts!$P$2:$P$301,Data_Posts!$D$2:$D$301,$J49,Data_Posts!$B$2:$B$301,N$43,Data_Posts!$N$2:$N$301,Calc!$B$2),0)</f>
        <v>0.129683382568132</v>
      </c>
    </row>
    <row r="50" customFormat="false" ht="15" hidden="false" customHeight="false" outlineLevel="0" collapsed="false">
      <c r="A50" s="19" t="s">
        <v>54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68" customFormat="false" ht="21.75" hidden="false" customHeight="true" outlineLevel="0" collapsed="false">
      <c r="A68" s="11" t="s">
        <v>55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customFormat="false" ht="43.5" hidden="false" customHeight="true" outlineLevel="0" collapsed="false">
      <c r="A69" s="13" t="s">
        <v>56</v>
      </c>
      <c r="B69" s="13" t="s">
        <v>57</v>
      </c>
      <c r="C69" s="13" t="s">
        <v>29</v>
      </c>
      <c r="D69" s="13" t="s">
        <v>58</v>
      </c>
      <c r="E69" s="13" t="s">
        <v>59</v>
      </c>
    </row>
    <row r="70" customFormat="false" ht="15" hidden="false" customHeight="false" outlineLevel="0" collapsed="false">
      <c r="A70" s="14" t="s">
        <v>60</v>
      </c>
      <c r="B70" s="15" t="n">
        <f aca="false">COUNTIFS(Data_Hashtags!$C$2:$C$457,$A70,Data_Hashtags!$B$2:$B$457,Calc!$B$1,Data_Hashtags!$D$2:$D$457,Calc!$B$2)</f>
        <v>80</v>
      </c>
      <c r="C70" s="16" t="n">
        <f aca="false">IFERROR(AVERAGEIFS(Data_Hashtags!$E$2:$E$457,Data_Hashtags!$C$2:$C$457,$A70,Data_Hashtags!$B$2:$B$457,Calc!$B$1,Data_Hashtags!$D$2:$D$457,Calc!$B$2),0)</f>
        <v>0.136610987599775</v>
      </c>
      <c r="D70" s="15" t="n">
        <f aca="false">IFERROR(AVERAGEIFS(Data_Hashtags!$F$2:$F$457,Data_Hashtags!$C$2:$C$457,$A70,Data_Hashtags!$B$2:$B$457,Calc!$B$1,Data_Hashtags!$D$2:$D$457,Calc!$B$2),0)</f>
        <v>152.575</v>
      </c>
      <c r="E70" s="16" t="n">
        <f aca="false">IFERROR(B70/SUM($B$70:$B$74),0)</f>
        <v>0.175438596491228</v>
      </c>
    </row>
    <row r="71" customFormat="false" ht="15" hidden="false" customHeight="false" outlineLevel="0" collapsed="false">
      <c r="A71" s="14" t="s">
        <v>61</v>
      </c>
      <c r="B71" s="15" t="n">
        <f aca="false">COUNTIFS(Data_Hashtags!$C$2:$C$457,$A71,Data_Hashtags!$B$2:$B$457,Calc!$B$1,Data_Hashtags!$D$2:$D$457,Calc!$B$2)</f>
        <v>83</v>
      </c>
      <c r="C71" s="16" t="n">
        <f aca="false">IFERROR(AVERAGEIFS(Data_Hashtags!$E$2:$E$457,Data_Hashtags!$C$2:$C$457,$A71,Data_Hashtags!$B$2:$B$457,Calc!$B$1,Data_Hashtags!$D$2:$D$457,Calc!$B$2),0)</f>
        <v>0.145493466358593</v>
      </c>
      <c r="D71" s="15" t="n">
        <f aca="false">IFERROR(AVERAGEIFS(Data_Hashtags!$F$2:$F$457,Data_Hashtags!$C$2:$C$457,$A71,Data_Hashtags!$B$2:$B$457,Calc!$B$1,Data_Hashtags!$D$2:$D$457,Calc!$B$2),0)</f>
        <v>140.963855421687</v>
      </c>
      <c r="E71" s="16" t="n">
        <f aca="false">IFERROR(B71/SUM($B$70:$B$74),0)</f>
        <v>0.182017543859649</v>
      </c>
    </row>
    <row r="72" customFormat="false" ht="15" hidden="false" customHeight="false" outlineLevel="0" collapsed="false">
      <c r="A72" s="14" t="s">
        <v>62</v>
      </c>
      <c r="B72" s="15" t="n">
        <f aca="false">COUNTIFS(Data_Hashtags!$C$2:$C$457,$A72,Data_Hashtags!$B$2:$B$457,Calc!$B$1,Data_Hashtags!$D$2:$D$457,Calc!$B$2)</f>
        <v>97</v>
      </c>
      <c r="C72" s="16" t="n">
        <f aca="false">IFERROR(AVERAGEIFS(Data_Hashtags!$E$2:$E$457,Data_Hashtags!$C$2:$C$457,$A72,Data_Hashtags!$B$2:$B$457,Calc!$B$1,Data_Hashtags!$D$2:$D$457,Calc!$B$2),0)</f>
        <v>0.149173460508619</v>
      </c>
      <c r="D72" s="15" t="n">
        <f aca="false">IFERROR(AVERAGEIFS(Data_Hashtags!$F$2:$F$457,Data_Hashtags!$C$2:$C$457,$A72,Data_Hashtags!$B$2:$B$457,Calc!$B$1,Data_Hashtags!$D$2:$D$457,Calc!$B$2),0)</f>
        <v>149.701030927835</v>
      </c>
      <c r="E72" s="16" t="n">
        <f aca="false">IFERROR(B72/SUM($B$70:$B$74),0)</f>
        <v>0.212719298245614</v>
      </c>
    </row>
    <row r="73" customFormat="false" ht="15" hidden="false" customHeight="false" outlineLevel="0" collapsed="false">
      <c r="A73" s="14" t="s">
        <v>63</v>
      </c>
      <c r="B73" s="15" t="n">
        <f aca="false">COUNTIFS(Data_Hashtags!$C$2:$C$457,$A73,Data_Hashtags!$B$2:$B$457,Calc!$B$1,Data_Hashtags!$D$2:$D$457,Calc!$B$2)</f>
        <v>92</v>
      </c>
      <c r="C73" s="16" t="n">
        <f aca="false">IFERROR(AVERAGEIFS(Data_Hashtags!$E$2:$E$457,Data_Hashtags!$C$2:$C$457,$A73,Data_Hashtags!$B$2:$B$457,Calc!$B$1,Data_Hashtags!$D$2:$D$457,Calc!$B$2),0)</f>
        <v>0.143530699346359</v>
      </c>
      <c r="D73" s="15" t="n">
        <f aca="false">IFERROR(AVERAGEIFS(Data_Hashtags!$F$2:$F$457,Data_Hashtags!$C$2:$C$457,$A73,Data_Hashtags!$B$2:$B$457,Calc!$B$1,Data_Hashtags!$D$2:$D$457,Calc!$B$2),0)</f>
        <v>165.271739130435</v>
      </c>
      <c r="E73" s="16" t="n">
        <f aca="false">IFERROR(B73/SUM($B$70:$B$74),0)</f>
        <v>0.201754385964912</v>
      </c>
    </row>
    <row r="74" customFormat="false" ht="15" hidden="false" customHeight="false" outlineLevel="0" collapsed="false">
      <c r="A74" s="14" t="s">
        <v>64</v>
      </c>
      <c r="B74" s="15" t="n">
        <f aca="false">COUNTIFS(Data_Hashtags!$C$2:$C$457,$A74,Data_Hashtags!$B$2:$B$457,Calc!$B$1,Data_Hashtags!$D$2:$D$457,Calc!$B$2)</f>
        <v>104</v>
      </c>
      <c r="C74" s="16" t="n">
        <f aca="false">IFERROR(AVERAGEIFS(Data_Hashtags!$E$2:$E$457,Data_Hashtags!$C$2:$C$457,$A74,Data_Hashtags!$B$2:$B$457,Calc!$B$1,Data_Hashtags!$D$2:$D$457,Calc!$B$2),0)</f>
        <v>0.156181942125921</v>
      </c>
      <c r="D74" s="15" t="n">
        <f aca="false">IFERROR(AVERAGEIFS(Data_Hashtags!$F$2:$F$457,Data_Hashtags!$C$2:$C$457,$A74,Data_Hashtags!$B$2:$B$457,Calc!$B$1,Data_Hashtags!$D$2:$D$457,Calc!$B$2),0)</f>
        <v>146.163461538462</v>
      </c>
      <c r="E74" s="16" t="n">
        <f aca="false">IFERROR(B74/SUM($B$70:$B$74),0)</f>
        <v>0.228070175438596</v>
      </c>
    </row>
    <row r="75" customFormat="false" ht="15" hidden="false" customHeight="false" outlineLevel="0" collapsed="false">
      <c r="A75" s="19" t="s">
        <v>65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</row>
    <row r="93" customFormat="false" ht="21.75" hidden="false" customHeight="true" outlineLevel="0" collapsed="false">
      <c r="A93" s="11" t="s">
        <v>66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 customFormat="false" ht="43.5" hidden="false" customHeight="true" outlineLevel="0" collapsed="false">
      <c r="A94" s="13" t="s">
        <v>4</v>
      </c>
      <c r="B94" s="13" t="s">
        <v>67</v>
      </c>
      <c r="C94" s="13" t="s">
        <v>68</v>
      </c>
      <c r="D94" s="13" t="s">
        <v>69</v>
      </c>
      <c r="E94" s="13" t="s">
        <v>70</v>
      </c>
      <c r="F94" s="13" t="s">
        <v>28</v>
      </c>
      <c r="G94" s="13" t="s">
        <v>71</v>
      </c>
      <c r="H94" s="13" t="s">
        <v>31</v>
      </c>
      <c r="I94" s="13" t="s">
        <v>29</v>
      </c>
      <c r="J94" s="13" t="s">
        <v>72</v>
      </c>
      <c r="K94" s="13" t="s">
        <v>73</v>
      </c>
      <c r="L94" s="13" t="s">
        <v>74</v>
      </c>
      <c r="M94" s="13" t="s">
        <v>75</v>
      </c>
      <c r="N94" s="13" t="s">
        <v>76</v>
      </c>
    </row>
    <row r="95" customFormat="false" ht="15" hidden="false" customHeight="false" outlineLevel="0" collapsed="false">
      <c r="A95" s="14" t="str">
        <f aca="false">Data_Campaigns!A2</f>
        <v>EndOfSeasonSale</v>
      </c>
      <c r="B95" s="20" t="n">
        <f aca="false">Data_Campaigns!B2</f>
        <v>45453</v>
      </c>
      <c r="C95" s="20" t="n">
        <f aca="false">Data_Campaigns!C2</f>
        <v>45478</v>
      </c>
      <c r="D95" s="15" t="n">
        <f aca="false">Data_Campaigns!E2</f>
        <v>180000</v>
      </c>
      <c r="E95" s="15" t="n">
        <f aca="false">COUNTIFS(Data_Posts!$N$2:$N$301,$A95,Data_Posts!$B$2:$B$301,Calc!$B$1)</f>
        <v>83</v>
      </c>
      <c r="F95" s="15" t="n">
        <f aca="false">SUMIFS(Data_Posts!$I$2:$I$301,Data_Posts!$N$2:$N$301,$A95,Data_Posts!$B$2:$B$301,Calc!$B$1)</f>
        <v>2886292</v>
      </c>
      <c r="G95" s="15" t="n">
        <f aca="false">SUMIFS(Data_Posts!$F$2:$F$301,Data_Posts!$N$2:$N$301,$A95,Data_Posts!$B$2:$B$301,Calc!$B$1)</f>
        <v>232785</v>
      </c>
      <c r="H95" s="15" t="n">
        <f aca="false">SUMIFS(Data_Posts!$K$2:$K$301,Data_Posts!$N$2:$N$301,$A95,Data_Posts!$B$2:$B$301,Calc!$B$1)</f>
        <v>12376</v>
      </c>
      <c r="I95" s="16" t="n">
        <f aca="false">IFERROR(AVERAGEIFS(Data_Posts!$P$2:$P$301,Data_Posts!$N$2:$N$301,$A95,Data_Posts!$B$2:$B$301,Calc!$B$1),0)</f>
        <v>0.153531972772496</v>
      </c>
      <c r="J95" s="15" t="n">
        <f aca="false">SUMIFS(Data_Posts!$O$2:$O$301,Data_Posts!$N$2:$N$301,$A95,Data_Posts!$B$2:$B$301,Calc!$B$1)</f>
        <v>295774</v>
      </c>
      <c r="K95" s="15" t="n">
        <f aca="false">IFERROR(J95/D95*1000,0)</f>
        <v>1643.18888888889</v>
      </c>
      <c r="L95" s="21" t="n">
        <f aca="false">COUNTIFS(Calc!$A$5:$A$54,"&gt;="&amp;B95,Calc!$A$5:$A$54,"&lt;="&amp;C95)</f>
        <v>4</v>
      </c>
      <c r="M95" s="15" t="n">
        <f aca="false">SUMIFS(Data_Weekly!$H$2:$H$201,Data_Weekly!$A$2:$A$201,"&gt;="&amp;B95,Data_Weekly!$A$2:$A$201,"&lt;="&amp;C95,Data_Weekly!$B$2:$B$201,Calc!$B$1)</f>
        <v>11191</v>
      </c>
      <c r="N95" s="18" t="n">
        <f aca="false">IFERROR(M95/D95*1000,0)</f>
        <v>62.1722222222222</v>
      </c>
    </row>
    <row r="96" customFormat="false" ht="15" hidden="false" customHeight="false" outlineLevel="0" collapsed="false">
      <c r="A96" s="14" t="str">
        <f aca="false">Data_Campaigns!A3</f>
        <v>FashionUpgrade</v>
      </c>
      <c r="B96" s="20" t="n">
        <f aca="false">Data_Campaigns!B3</f>
        <v>45505</v>
      </c>
      <c r="C96" s="20" t="n">
        <f aca="false">Data_Campaigns!C3</f>
        <v>45535</v>
      </c>
      <c r="D96" s="15" t="n">
        <f aca="false">Data_Campaigns!E3</f>
        <v>160000</v>
      </c>
      <c r="E96" s="15" t="n">
        <f aca="false">COUNTIFS(Data_Posts!$N$2:$N$301,$A96,Data_Posts!$B$2:$B$301,Calc!$B$1)</f>
        <v>72</v>
      </c>
      <c r="F96" s="15" t="n">
        <f aca="false">SUMIFS(Data_Posts!$I$2:$I$301,Data_Posts!$N$2:$N$301,$A96,Data_Posts!$B$2:$B$301,Calc!$B$1)</f>
        <v>2788367</v>
      </c>
      <c r="G96" s="15" t="n">
        <f aca="false">SUMIFS(Data_Posts!$F$2:$F$301,Data_Posts!$N$2:$N$301,$A96,Data_Posts!$B$2:$B$301,Calc!$B$1)</f>
        <v>212431</v>
      </c>
      <c r="H96" s="15" t="n">
        <f aca="false">SUMIFS(Data_Posts!$K$2:$K$301,Data_Posts!$N$2:$N$301,$A96,Data_Posts!$B$2:$B$301,Calc!$B$1)</f>
        <v>11191</v>
      </c>
      <c r="I96" s="16" t="n">
        <f aca="false">IFERROR(AVERAGEIFS(Data_Posts!$P$2:$P$301,Data_Posts!$N$2:$N$301,$A96,Data_Posts!$B$2:$B$301,Calc!$B$1),0)</f>
        <v>0.137079594933797</v>
      </c>
      <c r="J96" s="15" t="n">
        <f aca="false">SUMIFS(Data_Posts!$O$2:$O$301,Data_Posts!$N$2:$N$301,$A96,Data_Posts!$B$2:$B$301,Calc!$B$1)</f>
        <v>265044</v>
      </c>
      <c r="K96" s="15" t="n">
        <f aca="false">IFERROR(J96/D96*1000,0)</f>
        <v>1656.525</v>
      </c>
      <c r="L96" s="21" t="n">
        <f aca="false">COUNTIFS(Calc!$A$5:$A$54,"&gt;="&amp;B96,Calc!$A$5:$A$54,"&lt;="&amp;C96)</f>
        <v>4</v>
      </c>
      <c r="M96" s="15" t="n">
        <f aca="false">SUMIFS(Data_Weekly!$H$2:$H$201,Data_Weekly!$A$2:$A$201,"&gt;="&amp;B96,Data_Weekly!$A$2:$A$201,"&lt;="&amp;C96,Data_Weekly!$B$2:$B$201,Calc!$B$1)</f>
        <v>10422</v>
      </c>
      <c r="N96" s="18" t="n">
        <f aca="false">IFERROR(M96/D96*1000,0)</f>
        <v>65.1375</v>
      </c>
    </row>
    <row r="97" customFormat="false" ht="15" hidden="false" customHeight="false" outlineLevel="0" collapsed="false">
      <c r="A97" s="14" t="str">
        <f aca="false">Data_Campaigns!A4</f>
        <v>MyntraFestiveEdit</v>
      </c>
      <c r="B97" s="20" t="n">
        <f aca="false">Data_Campaigns!B4</f>
        <v>45570</v>
      </c>
      <c r="C97" s="20" t="n">
        <f aca="false">Data_Campaigns!C4</f>
        <v>45601</v>
      </c>
      <c r="D97" s="15" t="n">
        <f aca="false">Data_Campaigns!E4</f>
        <v>220000</v>
      </c>
      <c r="E97" s="15" t="n">
        <f aca="false">COUNTIFS(Data_Posts!$N$2:$N$301,$A97,Data_Posts!$B$2:$B$301,Calc!$B$1)</f>
        <v>78</v>
      </c>
      <c r="F97" s="15" t="n">
        <f aca="false">SUMIFS(Data_Posts!$I$2:$I$301,Data_Posts!$N$2:$N$301,$A97,Data_Posts!$B$2:$B$301,Calc!$B$1)</f>
        <v>2611652</v>
      </c>
      <c r="G97" s="15" t="n">
        <f aca="false">SUMIFS(Data_Posts!$F$2:$F$301,Data_Posts!$N$2:$N$301,$A97,Data_Posts!$B$2:$B$301,Calc!$B$1)</f>
        <v>198666</v>
      </c>
      <c r="H97" s="15" t="n">
        <f aca="false">SUMIFS(Data_Posts!$K$2:$K$301,Data_Posts!$N$2:$N$301,$A97,Data_Posts!$B$2:$B$301,Calc!$B$1)</f>
        <v>12464</v>
      </c>
      <c r="I97" s="16" t="n">
        <f aca="false">IFERROR(AVERAGEIFS(Data_Posts!$P$2:$P$301,Data_Posts!$N$2:$N$301,$A97,Data_Posts!$B$2:$B$301,Calc!$B$1),0)</f>
        <v>0.144445713425122</v>
      </c>
      <c r="J97" s="15" t="n">
        <f aca="false">SUMIFS(Data_Posts!$O$2:$O$301,Data_Posts!$N$2:$N$301,$A97,Data_Posts!$B$2:$B$301,Calc!$B$1)</f>
        <v>256339</v>
      </c>
      <c r="K97" s="15" t="n">
        <f aca="false">IFERROR(J97/D97*1000,0)</f>
        <v>1165.17727272727</v>
      </c>
      <c r="L97" s="21" t="n">
        <f aca="false">COUNTIFS(Calc!$A$5:$A$54,"&gt;="&amp;B97,Calc!$A$5:$A$54,"&lt;="&amp;C97)</f>
        <v>5</v>
      </c>
      <c r="M97" s="15" t="n">
        <f aca="false">SUMIFS(Data_Weekly!$H$2:$H$201,Data_Weekly!$A$2:$A$201,"&gt;="&amp;B97,Data_Weekly!$A$2:$A$201,"&lt;="&amp;C97,Data_Weekly!$B$2:$B$201,Calc!$B$1)</f>
        <v>15676</v>
      </c>
      <c r="N97" s="18" t="n">
        <f aca="false">IFERROR(M97/D97*1000,0)</f>
        <v>71.2545454545455</v>
      </c>
    </row>
    <row r="98" customFormat="false" ht="15" hidden="false" customHeight="false" outlineLevel="0" collapsed="false">
      <c r="A98" s="14" t="str">
        <f aca="false">Data_Campaigns!A5</f>
        <v>StyleRevolution</v>
      </c>
      <c r="B98" s="20" t="n">
        <f aca="false">Data_Campaigns!B5</f>
        <v>45667</v>
      </c>
      <c r="C98" s="20" t="n">
        <f aca="false">Data_Campaigns!C5</f>
        <v>45698</v>
      </c>
      <c r="D98" s="15" t="n">
        <f aca="false">Data_Campaigns!E5</f>
        <v>200000</v>
      </c>
      <c r="E98" s="15" t="n">
        <f aca="false">COUNTIFS(Data_Posts!$N$2:$N$301,$A98,Data_Posts!$B$2:$B$301,Calc!$B$1)</f>
        <v>67</v>
      </c>
      <c r="F98" s="15" t="n">
        <f aca="false">SUMIFS(Data_Posts!$I$2:$I$301,Data_Posts!$N$2:$N$301,$A98,Data_Posts!$B$2:$B$301,Calc!$B$1)</f>
        <v>2107842</v>
      </c>
      <c r="G98" s="15" t="n">
        <f aca="false">SUMIFS(Data_Posts!$F$2:$F$301,Data_Posts!$N$2:$N$301,$A98,Data_Posts!$B$2:$B$301,Calc!$B$1)</f>
        <v>176109</v>
      </c>
      <c r="H98" s="15" t="n">
        <f aca="false">SUMIFS(Data_Posts!$K$2:$K$301,Data_Posts!$N$2:$N$301,$A98,Data_Posts!$B$2:$B$301,Calc!$B$1)</f>
        <v>9335</v>
      </c>
      <c r="I98" s="16" t="n">
        <f aca="false">IFERROR(AVERAGEIFS(Data_Posts!$P$2:$P$301,Data_Posts!$N$2:$N$301,$A98,Data_Posts!$B$2:$B$301,Calc!$B$1),0)</f>
        <v>0.158286077866396</v>
      </c>
      <c r="J98" s="15" t="n">
        <f aca="false">SUMIFS(Data_Posts!$O$2:$O$301,Data_Posts!$N$2:$N$301,$A98,Data_Posts!$B$2:$B$301,Calc!$B$1)</f>
        <v>220610</v>
      </c>
      <c r="K98" s="15" t="n">
        <f aca="false">IFERROR(J98/D98*1000,0)</f>
        <v>1103.05</v>
      </c>
      <c r="L98" s="21" t="n">
        <f aca="false">COUNTIFS(Calc!$A$5:$A$54,"&gt;="&amp;B98,Calc!$A$5:$A$54,"&lt;="&amp;C98)</f>
        <v>5</v>
      </c>
      <c r="M98" s="15" t="n">
        <f aca="false">SUMIFS(Data_Weekly!$H$2:$H$201,Data_Weekly!$A$2:$A$201,"&gt;="&amp;B98,Data_Weekly!$A$2:$A$201,"&lt;="&amp;C98,Data_Weekly!$B$2:$B$201,Calc!$B$1)</f>
        <v>17249</v>
      </c>
      <c r="N98" s="18" t="n">
        <f aca="false">IFERROR(M98/D98*1000,0)</f>
        <v>86.245</v>
      </c>
    </row>
    <row r="99" customFormat="false" ht="15" hidden="false" customHeight="false" outlineLevel="0" collapsed="false">
      <c r="A99" s="19" t="s">
        <v>77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</row>
    <row r="117" customFormat="false" ht="21.75" hidden="false" customHeight="true" outlineLevel="0" collapsed="false">
      <c r="A117" s="11" t="s">
        <v>78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 customFormat="false" ht="25.5" hidden="false" customHeight="true" outlineLevel="0" collapsed="false">
      <c r="A118" s="6" t="s">
        <v>79</v>
      </c>
      <c r="B118" s="6"/>
      <c r="C118" s="6" t="s">
        <v>80</v>
      </c>
      <c r="D118" s="6"/>
      <c r="E118" s="6" t="s">
        <v>81</v>
      </c>
      <c r="F118" s="6"/>
      <c r="G118" s="6" t="s">
        <v>82</v>
      </c>
      <c r="H118" s="6"/>
    </row>
    <row r="119" customFormat="false" ht="30" hidden="false" customHeight="true" outlineLevel="0" collapsed="false">
      <c r="A119" s="22" t="n">
        <f aca="false">INDEX(Calc!$A$5:$A$54,MATCH(MAX(Calc!$B$5:$B$54),Calc!$B$5:$B$54,0))</f>
        <v>45656</v>
      </c>
      <c r="B119" s="22"/>
      <c r="C119" s="23" t="n">
        <f aca="false">MAX(Calc!$B$5:$B$54)</f>
        <v>6530</v>
      </c>
      <c r="D119" s="23"/>
      <c r="E119" s="23" t="n">
        <f aca="false">AVERAGE(Calc!$B$5:$B$54)</f>
        <v>3202.1</v>
      </c>
      <c r="F119" s="23"/>
      <c r="G119" s="24" t="n">
        <f aca="false">CORREL(Calc!$D$5:$D$54,Calc!$B$5:$B$54)</f>
        <v>-0.0562967686326</v>
      </c>
      <c r="H119" s="24"/>
      <c r="I119" s="25" t="s">
        <v>83</v>
      </c>
    </row>
    <row r="137" customFormat="false" ht="15" hidden="false" customHeight="false" outlineLevel="0" collapsed="false">
      <c r="A137" s="19" t="s">
        <v>84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</row>
  </sheetData>
  <mergeCells count="49">
    <mergeCell ref="A1:N1"/>
    <mergeCell ref="A2:N2"/>
    <mergeCell ref="F4:G4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0:N10"/>
    <mergeCell ref="A11:N11"/>
    <mergeCell ref="A12:N12"/>
    <mergeCell ref="A13:N13"/>
    <mergeCell ref="A14:N14"/>
    <mergeCell ref="A15:N15"/>
    <mergeCell ref="A16:N16"/>
    <mergeCell ref="A18:N18"/>
    <mergeCell ref="A24:N24"/>
    <mergeCell ref="A42:N42"/>
    <mergeCell ref="A50:N50"/>
    <mergeCell ref="A68:N68"/>
    <mergeCell ref="A75:N75"/>
    <mergeCell ref="A93:N93"/>
    <mergeCell ref="A99:N99"/>
    <mergeCell ref="A117:N117"/>
    <mergeCell ref="A118:B118"/>
    <mergeCell ref="C118:D118"/>
    <mergeCell ref="E118:F118"/>
    <mergeCell ref="G118:H118"/>
    <mergeCell ref="A119:B119"/>
    <mergeCell ref="C119:D119"/>
    <mergeCell ref="E119:F119"/>
    <mergeCell ref="G119:H119"/>
    <mergeCell ref="A137:N137"/>
  </mergeCells>
  <conditionalFormatting sqref="D20:D23">
    <cfRule type="colorScale" priority="2">
      <colorScale>
        <cfvo type="min" val="0"/>
        <cfvo type="max" val="0"/>
        <color rgb="FFFFFFFF"/>
        <color rgb="FFF8A5B8"/>
      </colorScale>
    </cfRule>
  </conditionalFormatting>
  <conditionalFormatting sqref="J20:J23">
    <cfRule type="colorScale" priority="3">
      <colorScale>
        <cfvo type="min" val="0"/>
        <cfvo type="max" val="0"/>
        <color rgb="FFFFFFFF"/>
        <color rgb="FFF8A5B8"/>
      </colorScale>
    </cfRule>
  </conditionalFormatting>
  <conditionalFormatting sqref="C44:C49">
    <cfRule type="colorScale" priority="4">
      <colorScale>
        <cfvo type="min" val="0"/>
        <cfvo type="max" val="0"/>
        <color rgb="FFFFFFFF"/>
        <color rgb="FFF8A5B8"/>
      </colorScale>
    </cfRule>
  </conditionalFormatting>
  <conditionalFormatting sqref="K44:N49">
    <cfRule type="colorScale" priority="5">
      <colorScale>
        <cfvo type="min" val="0"/>
        <cfvo type="percentile" val="50"/>
        <cfvo type="max" val="0"/>
        <color rgb="FFFFFFFF"/>
        <color rgb="FFFCD5DE"/>
        <color rgb="FFF0587E"/>
      </colorScale>
    </cfRule>
  </conditionalFormatting>
  <conditionalFormatting sqref="C70:C74">
    <cfRule type="colorScale" priority="6">
      <colorScale>
        <cfvo type="min" val="0"/>
        <cfvo type="max" val="0"/>
        <color rgb="FFFFFFFF"/>
        <color rgb="FFF8A5B8"/>
      </colorScale>
    </cfRule>
  </conditionalFormatting>
  <conditionalFormatting sqref="I95:I98">
    <cfRule type="colorScale" priority="7">
      <colorScale>
        <cfvo type="min" val="0"/>
        <cfvo type="max" val="0"/>
        <color rgb="FFFFFFFF"/>
        <color rgb="FFF8A5B8"/>
      </colorScale>
    </cfRule>
  </conditionalFormatting>
  <conditionalFormatting sqref="K95:K98">
    <cfRule type="colorScale" priority="8">
      <colorScale>
        <cfvo type="min" val="0"/>
        <cfvo type="max" val="0"/>
        <color rgb="FFFFFFFF"/>
        <color rgb="FFF8A5B8"/>
      </colorScale>
    </cfRule>
  </conditionalFormatting>
  <conditionalFormatting sqref="N95:N98">
    <cfRule type="colorScale" priority="9">
      <colorScale>
        <cfvo type="min" val="0"/>
        <cfvo type="max" val="0"/>
        <color rgb="FFFFFFFF"/>
        <color rgb="FFF8A5B8"/>
      </colorScale>
    </cfRule>
  </conditionalFormatting>
  <dataValidations count="2">
    <dataValidation allowBlank="false" errorStyle="stop" operator="between" showDropDown="false" showErrorMessage="false" showInputMessage="false" sqref="C4" type="list">
      <formula1>"All,Facebook,Instagram,Twitter,YouTube"</formula1>
      <formula2>0</formula2>
    </dataValidation>
    <dataValidation allowBlank="false" errorStyle="stop" operator="between" showDropDown="false" showErrorMessage="false" showInputMessage="false" sqref="F4" type="list">
      <formula1>"All,EndOfSeasonSale,FashionUpgrade,MyntraFestiveEdit,StyleRevolution"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48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3" min="12" style="0" width="17"/>
    <col collapsed="false" customWidth="true" hidden="false" outlineLevel="0" max="14" min="14" style="0" width="19"/>
    <col collapsed="false" customWidth="true" hidden="false" outlineLevel="0" max="15" min="15" style="0" width="11"/>
    <col collapsed="false" customWidth="true" hidden="false" outlineLevel="0" max="16" min="16" style="0" width="12"/>
  </cols>
  <sheetData>
    <row r="1" customFormat="false" ht="31.5" hidden="false" customHeight="true" outlineLevel="0" collapsed="false">
      <c r="A1" s="13" t="s">
        <v>85</v>
      </c>
      <c r="B1" s="13" t="s">
        <v>2</v>
      </c>
      <c r="C1" s="13" t="s">
        <v>86</v>
      </c>
      <c r="D1" s="13" t="s">
        <v>42</v>
      </c>
      <c r="E1" s="13" t="s">
        <v>87</v>
      </c>
      <c r="F1" s="13" t="s">
        <v>71</v>
      </c>
      <c r="G1" s="13" t="s">
        <v>88</v>
      </c>
      <c r="H1" s="13" t="s">
        <v>89</v>
      </c>
      <c r="I1" s="13" t="s">
        <v>28</v>
      </c>
      <c r="J1" s="13" t="s">
        <v>90</v>
      </c>
      <c r="K1" s="13" t="s">
        <v>31</v>
      </c>
      <c r="L1" s="13" t="s">
        <v>91</v>
      </c>
      <c r="M1" s="13" t="s">
        <v>92</v>
      </c>
      <c r="N1" s="13" t="s">
        <v>4</v>
      </c>
      <c r="O1" s="13" t="s">
        <v>93</v>
      </c>
      <c r="P1" s="13" t="s">
        <v>94</v>
      </c>
    </row>
    <row r="2" customFormat="false" ht="15" hidden="false" customHeight="false" outlineLevel="0" collapsed="false">
      <c r="A2" s="26" t="s">
        <v>95</v>
      </c>
      <c r="B2" s="26" t="s">
        <v>38</v>
      </c>
      <c r="C2" s="27" t="n">
        <v>45649</v>
      </c>
      <c r="D2" s="26" t="s">
        <v>50</v>
      </c>
      <c r="E2" s="26" t="s">
        <v>96</v>
      </c>
      <c r="F2" s="26" t="n">
        <v>1461</v>
      </c>
      <c r="G2" s="26" t="n">
        <v>184</v>
      </c>
      <c r="H2" s="26" t="n">
        <v>344</v>
      </c>
      <c r="I2" s="26" t="n">
        <v>21915</v>
      </c>
      <c r="J2" s="26" t="n">
        <v>21675</v>
      </c>
      <c r="K2" s="26" t="n">
        <v>15</v>
      </c>
      <c r="L2" s="26" t="s">
        <v>62</v>
      </c>
      <c r="M2" s="26"/>
      <c r="N2" s="26" t="s">
        <v>97</v>
      </c>
      <c r="O2" s="26" t="n">
        <f aca="false">F2+G2+H2</f>
        <v>1989</v>
      </c>
      <c r="P2" s="28" t="n">
        <f aca="false">IFERROR(O2/I2,0)</f>
        <v>0.0907597535934292</v>
      </c>
    </row>
    <row r="3" customFormat="false" ht="15" hidden="false" customHeight="false" outlineLevel="0" collapsed="false">
      <c r="A3" s="26" t="s">
        <v>98</v>
      </c>
      <c r="B3" s="26" t="s">
        <v>38</v>
      </c>
      <c r="C3" s="27" t="n">
        <v>45750</v>
      </c>
      <c r="D3" s="26" t="s">
        <v>52</v>
      </c>
      <c r="E3" s="26" t="s">
        <v>99</v>
      </c>
      <c r="F3" s="26" t="n">
        <v>4054</v>
      </c>
      <c r="G3" s="26" t="n">
        <v>389</v>
      </c>
      <c r="H3" s="26" t="n">
        <v>493</v>
      </c>
      <c r="I3" s="26" t="n">
        <v>64864</v>
      </c>
      <c r="J3" s="26" t="n">
        <v>64383</v>
      </c>
      <c r="K3" s="26" t="n">
        <v>117</v>
      </c>
      <c r="L3" s="26" t="s">
        <v>61</v>
      </c>
      <c r="M3" s="26"/>
      <c r="N3" s="26" t="s">
        <v>100</v>
      </c>
      <c r="O3" s="26" t="n">
        <f aca="false">F3+G3+H3</f>
        <v>4936</v>
      </c>
      <c r="P3" s="28" t="n">
        <f aca="false">IFERROR(O3/I3,0)</f>
        <v>0.0760976813024174</v>
      </c>
    </row>
    <row r="4" customFormat="false" ht="15" hidden="false" customHeight="false" outlineLevel="0" collapsed="false">
      <c r="A4" s="26" t="s">
        <v>101</v>
      </c>
      <c r="B4" s="26" t="s">
        <v>39</v>
      </c>
      <c r="C4" s="27" t="n">
        <v>45789</v>
      </c>
      <c r="D4" s="26" t="s">
        <v>50</v>
      </c>
      <c r="E4" s="26" t="s">
        <v>96</v>
      </c>
      <c r="F4" s="26" t="n">
        <v>2795</v>
      </c>
      <c r="G4" s="26" t="n">
        <v>105</v>
      </c>
      <c r="H4" s="26" t="n">
        <v>49</v>
      </c>
      <c r="I4" s="26" t="n">
        <v>53105</v>
      </c>
      <c r="J4" s="26" t="n">
        <v>52307</v>
      </c>
      <c r="K4" s="26" t="n">
        <v>204</v>
      </c>
      <c r="L4" s="26" t="s">
        <v>61</v>
      </c>
      <c r="M4" s="26" t="s">
        <v>62</v>
      </c>
      <c r="N4" s="26" t="s">
        <v>97</v>
      </c>
      <c r="O4" s="26" t="n">
        <f aca="false">F4+G4+H4</f>
        <v>2949</v>
      </c>
      <c r="P4" s="28" t="n">
        <f aca="false">IFERROR(O4/I4,0)</f>
        <v>0.0555314942095848</v>
      </c>
    </row>
    <row r="5" customFormat="false" ht="15" hidden="false" customHeight="false" outlineLevel="0" collapsed="false">
      <c r="A5" s="26" t="s">
        <v>102</v>
      </c>
      <c r="B5" s="26" t="s">
        <v>37</v>
      </c>
      <c r="C5" s="27" t="n">
        <v>45516</v>
      </c>
      <c r="D5" s="26" t="s">
        <v>51</v>
      </c>
      <c r="E5" s="26" t="s">
        <v>103</v>
      </c>
      <c r="F5" s="26" t="n">
        <v>2404</v>
      </c>
      <c r="G5" s="26" t="n">
        <v>363</v>
      </c>
      <c r="H5" s="26" t="n">
        <v>138</v>
      </c>
      <c r="I5" s="26" t="n">
        <v>19232</v>
      </c>
      <c r="J5" s="26" t="n">
        <v>18636</v>
      </c>
      <c r="K5" s="26" t="n">
        <v>128</v>
      </c>
      <c r="L5" s="26" t="s">
        <v>62</v>
      </c>
      <c r="M5" s="26"/>
      <c r="N5" s="26" t="s">
        <v>97</v>
      </c>
      <c r="O5" s="26" t="n">
        <f aca="false">F5+G5+H5</f>
        <v>2905</v>
      </c>
      <c r="P5" s="28" t="n">
        <f aca="false">IFERROR(O5/I5,0)</f>
        <v>0.151050332778702</v>
      </c>
    </row>
    <row r="6" customFormat="false" ht="15" hidden="false" customHeight="false" outlineLevel="0" collapsed="false">
      <c r="A6" s="26" t="s">
        <v>104</v>
      </c>
      <c r="B6" s="26" t="s">
        <v>39</v>
      </c>
      <c r="C6" s="27" t="n">
        <v>45469</v>
      </c>
      <c r="D6" s="26" t="s">
        <v>50</v>
      </c>
      <c r="E6" s="26" t="s">
        <v>96</v>
      </c>
      <c r="F6" s="26" t="n">
        <v>3557</v>
      </c>
      <c r="G6" s="26" t="n">
        <v>687</v>
      </c>
      <c r="H6" s="26" t="n">
        <v>424</v>
      </c>
      <c r="I6" s="26" t="n">
        <v>71140</v>
      </c>
      <c r="J6" s="26" t="n">
        <v>70701</v>
      </c>
      <c r="K6" s="26" t="n">
        <v>224</v>
      </c>
      <c r="L6" s="26" t="s">
        <v>64</v>
      </c>
      <c r="M6" s="26" t="s">
        <v>61</v>
      </c>
      <c r="N6" s="26" t="s">
        <v>105</v>
      </c>
      <c r="O6" s="26" t="n">
        <f aca="false">F6+G6+H6</f>
        <v>4668</v>
      </c>
      <c r="P6" s="28" t="n">
        <f aca="false">IFERROR(O6/I6,0)</f>
        <v>0.065617093055946</v>
      </c>
    </row>
    <row r="7" customFormat="false" ht="15" hidden="false" customHeight="false" outlineLevel="0" collapsed="false">
      <c r="A7" s="26" t="s">
        <v>106</v>
      </c>
      <c r="B7" s="26" t="s">
        <v>36</v>
      </c>
      <c r="C7" s="27" t="n">
        <v>45596</v>
      </c>
      <c r="D7" s="26" t="s">
        <v>48</v>
      </c>
      <c r="E7" s="26" t="s">
        <v>107</v>
      </c>
      <c r="F7" s="26" t="n">
        <v>2945</v>
      </c>
      <c r="G7" s="26" t="n">
        <v>930</v>
      </c>
      <c r="H7" s="26" t="n">
        <v>355</v>
      </c>
      <c r="I7" s="26" t="n">
        <v>23560</v>
      </c>
      <c r="J7" s="26" t="n">
        <v>23275</v>
      </c>
      <c r="K7" s="26" t="n">
        <v>256</v>
      </c>
      <c r="L7" s="26" t="s">
        <v>63</v>
      </c>
      <c r="M7" s="26"/>
      <c r="N7" s="26" t="s">
        <v>100</v>
      </c>
      <c r="O7" s="26" t="n">
        <f aca="false">F7+G7+H7</f>
        <v>4230</v>
      </c>
      <c r="P7" s="28" t="n">
        <f aca="false">IFERROR(O7/I7,0)</f>
        <v>0.179541595925297</v>
      </c>
    </row>
    <row r="8" customFormat="false" ht="15" hidden="false" customHeight="false" outlineLevel="0" collapsed="false">
      <c r="A8" s="26" t="s">
        <v>108</v>
      </c>
      <c r="B8" s="26" t="s">
        <v>38</v>
      </c>
      <c r="C8" s="27" t="n">
        <v>45467</v>
      </c>
      <c r="D8" s="26" t="s">
        <v>48</v>
      </c>
      <c r="E8" s="26" t="s">
        <v>107</v>
      </c>
      <c r="F8" s="26" t="n">
        <v>3860</v>
      </c>
      <c r="G8" s="26" t="n">
        <v>201</v>
      </c>
      <c r="H8" s="26" t="n">
        <v>279</v>
      </c>
      <c r="I8" s="26" t="n">
        <v>61760</v>
      </c>
      <c r="J8" s="26" t="n">
        <v>61660</v>
      </c>
      <c r="K8" s="26" t="n">
        <v>235</v>
      </c>
      <c r="L8" s="26" t="s">
        <v>63</v>
      </c>
      <c r="M8" s="26"/>
      <c r="N8" s="26" t="s">
        <v>105</v>
      </c>
      <c r="O8" s="26" t="n">
        <f aca="false">F8+G8+H8</f>
        <v>4340</v>
      </c>
      <c r="P8" s="28" t="n">
        <f aca="false">IFERROR(O8/I8,0)</f>
        <v>0.0702720207253886</v>
      </c>
    </row>
    <row r="9" customFormat="false" ht="15" hidden="false" customHeight="false" outlineLevel="0" collapsed="false">
      <c r="A9" s="26" t="s">
        <v>109</v>
      </c>
      <c r="B9" s="26" t="s">
        <v>39</v>
      </c>
      <c r="C9" s="27" t="n">
        <v>45486</v>
      </c>
      <c r="D9" s="26" t="s">
        <v>49</v>
      </c>
      <c r="E9" s="26" t="s">
        <v>110</v>
      </c>
      <c r="F9" s="26" t="n">
        <v>3929</v>
      </c>
      <c r="G9" s="26" t="n">
        <v>262</v>
      </c>
      <c r="H9" s="26" t="n">
        <v>278</v>
      </c>
      <c r="I9" s="26" t="n">
        <v>43219</v>
      </c>
      <c r="J9" s="26" t="n">
        <v>42841</v>
      </c>
      <c r="K9" s="26" t="n">
        <v>39</v>
      </c>
      <c r="L9" s="26" t="s">
        <v>61</v>
      </c>
      <c r="M9" s="26" t="s">
        <v>62</v>
      </c>
      <c r="N9" s="26" t="s">
        <v>105</v>
      </c>
      <c r="O9" s="26" t="n">
        <f aca="false">F9+G9+H9</f>
        <v>4469</v>
      </c>
      <c r="P9" s="28" t="n">
        <f aca="false">IFERROR(O9/I9,0)</f>
        <v>0.103403595640806</v>
      </c>
    </row>
    <row r="10" customFormat="false" ht="15" hidden="false" customHeight="false" outlineLevel="0" collapsed="false">
      <c r="A10" s="26" t="s">
        <v>111</v>
      </c>
      <c r="B10" s="26" t="s">
        <v>36</v>
      </c>
      <c r="C10" s="27" t="n">
        <v>45534</v>
      </c>
      <c r="D10" s="26" t="s">
        <v>52</v>
      </c>
      <c r="E10" s="26" t="s">
        <v>99</v>
      </c>
      <c r="F10" s="26" t="n">
        <v>3784</v>
      </c>
      <c r="G10" s="26" t="n">
        <v>808</v>
      </c>
      <c r="H10" s="26" t="n">
        <v>404</v>
      </c>
      <c r="I10" s="26" t="n">
        <v>56760</v>
      </c>
      <c r="J10" s="26" t="n">
        <v>56343</v>
      </c>
      <c r="K10" s="26" t="n">
        <v>131</v>
      </c>
      <c r="L10" s="26" t="s">
        <v>61</v>
      </c>
      <c r="M10" s="26" t="s">
        <v>62</v>
      </c>
      <c r="N10" s="26" t="s">
        <v>105</v>
      </c>
      <c r="O10" s="26" t="n">
        <f aca="false">F10+G10+H10</f>
        <v>4996</v>
      </c>
      <c r="P10" s="28" t="n">
        <f aca="false">IFERROR(O10/I10,0)</f>
        <v>0.0880197322057787</v>
      </c>
    </row>
    <row r="11" customFormat="false" ht="15" hidden="false" customHeight="false" outlineLevel="0" collapsed="false">
      <c r="A11" s="26" t="s">
        <v>112</v>
      </c>
      <c r="B11" s="26" t="s">
        <v>36</v>
      </c>
      <c r="C11" s="27" t="n">
        <v>45727</v>
      </c>
      <c r="D11" s="26" t="s">
        <v>49</v>
      </c>
      <c r="E11" s="26" t="s">
        <v>110</v>
      </c>
      <c r="F11" s="26" t="n">
        <v>4241</v>
      </c>
      <c r="G11" s="26" t="n">
        <v>902</v>
      </c>
      <c r="H11" s="26" t="n">
        <v>47</v>
      </c>
      <c r="I11" s="26" t="n">
        <v>72097</v>
      </c>
      <c r="J11" s="26" t="n">
        <v>71598</v>
      </c>
      <c r="K11" s="26" t="n">
        <v>167</v>
      </c>
      <c r="L11" s="26" t="s">
        <v>63</v>
      </c>
      <c r="M11" s="26"/>
      <c r="N11" s="26" t="s">
        <v>113</v>
      </c>
      <c r="O11" s="26" t="n">
        <f aca="false">F11+G11+H11</f>
        <v>5190</v>
      </c>
      <c r="P11" s="28" t="n">
        <f aca="false">IFERROR(O11/I11,0)</f>
        <v>0.0719863517205986</v>
      </c>
    </row>
    <row r="12" customFormat="false" ht="15" hidden="false" customHeight="false" outlineLevel="0" collapsed="false">
      <c r="A12" s="26" t="s">
        <v>114</v>
      </c>
      <c r="B12" s="26" t="s">
        <v>37</v>
      </c>
      <c r="C12" s="27" t="n">
        <v>45690</v>
      </c>
      <c r="D12" s="26" t="s">
        <v>51</v>
      </c>
      <c r="E12" s="26" t="s">
        <v>103</v>
      </c>
      <c r="F12" s="26" t="n">
        <v>1792</v>
      </c>
      <c r="G12" s="26" t="n">
        <v>614</v>
      </c>
      <c r="H12" s="26" t="n">
        <v>497</v>
      </c>
      <c r="I12" s="26" t="n">
        <v>25088</v>
      </c>
      <c r="J12" s="26" t="n">
        <v>24675</v>
      </c>
      <c r="K12" s="26" t="n">
        <v>65</v>
      </c>
      <c r="L12" s="26" t="s">
        <v>64</v>
      </c>
      <c r="M12" s="26"/>
      <c r="N12" s="26" t="s">
        <v>97</v>
      </c>
      <c r="O12" s="26" t="n">
        <f aca="false">F12+G12+H12</f>
        <v>2903</v>
      </c>
      <c r="P12" s="28" t="n">
        <f aca="false">IFERROR(O12/I12,0)</f>
        <v>0.115712691326531</v>
      </c>
    </row>
    <row r="13" customFormat="false" ht="15" hidden="false" customHeight="false" outlineLevel="0" collapsed="false">
      <c r="A13" s="26" t="s">
        <v>115</v>
      </c>
      <c r="B13" s="26" t="s">
        <v>36</v>
      </c>
      <c r="C13" s="27" t="n">
        <v>45494</v>
      </c>
      <c r="D13" s="26" t="s">
        <v>50</v>
      </c>
      <c r="E13" s="26" t="s">
        <v>96</v>
      </c>
      <c r="F13" s="26" t="n">
        <v>1946</v>
      </c>
      <c r="G13" s="26" t="n">
        <v>686</v>
      </c>
      <c r="H13" s="26" t="n">
        <v>377</v>
      </c>
      <c r="I13" s="26" t="n">
        <v>23352</v>
      </c>
      <c r="J13" s="26" t="n">
        <v>22982</v>
      </c>
      <c r="K13" s="26" t="n">
        <v>213</v>
      </c>
      <c r="L13" s="26" t="s">
        <v>64</v>
      </c>
      <c r="M13" s="26" t="s">
        <v>62</v>
      </c>
      <c r="N13" s="26" t="s">
        <v>105</v>
      </c>
      <c r="O13" s="26" t="n">
        <f aca="false">F13+G13+H13</f>
        <v>3009</v>
      </c>
      <c r="P13" s="28" t="n">
        <f aca="false">IFERROR(O13/I13,0)</f>
        <v>0.128854059609455</v>
      </c>
    </row>
    <row r="14" customFormat="false" ht="15" hidden="false" customHeight="false" outlineLevel="0" collapsed="false">
      <c r="A14" s="26" t="s">
        <v>116</v>
      </c>
      <c r="B14" s="26" t="s">
        <v>39</v>
      </c>
      <c r="C14" s="27" t="n">
        <v>45614</v>
      </c>
      <c r="D14" s="26" t="s">
        <v>48</v>
      </c>
      <c r="E14" s="26" t="s">
        <v>107</v>
      </c>
      <c r="F14" s="26" t="n">
        <v>1171</v>
      </c>
      <c r="G14" s="26" t="n">
        <v>286</v>
      </c>
      <c r="H14" s="26" t="n">
        <v>231</v>
      </c>
      <c r="I14" s="26" t="n">
        <v>22249</v>
      </c>
      <c r="J14" s="26" t="n">
        <v>21282</v>
      </c>
      <c r="K14" s="26" t="n">
        <v>114</v>
      </c>
      <c r="L14" s="26" t="s">
        <v>61</v>
      </c>
      <c r="M14" s="26"/>
      <c r="N14" s="26" t="s">
        <v>113</v>
      </c>
      <c r="O14" s="26" t="n">
        <f aca="false">F14+G14+H14</f>
        <v>1688</v>
      </c>
      <c r="P14" s="28" t="n">
        <f aca="false">IFERROR(O14/I14,0)</f>
        <v>0.0758685783630725</v>
      </c>
    </row>
    <row r="15" customFormat="false" ht="15" hidden="false" customHeight="false" outlineLevel="0" collapsed="false">
      <c r="A15" s="26" t="s">
        <v>117</v>
      </c>
      <c r="B15" s="26" t="s">
        <v>36</v>
      </c>
      <c r="C15" s="27" t="n">
        <v>45704</v>
      </c>
      <c r="D15" s="26" t="s">
        <v>51</v>
      </c>
      <c r="E15" s="26" t="s">
        <v>103</v>
      </c>
      <c r="F15" s="26" t="n">
        <v>4242</v>
      </c>
      <c r="G15" s="26" t="n">
        <v>555</v>
      </c>
      <c r="H15" s="26" t="n">
        <v>131</v>
      </c>
      <c r="I15" s="26" t="n">
        <v>33936</v>
      </c>
      <c r="J15" s="26" t="n">
        <v>33802</v>
      </c>
      <c r="K15" s="26" t="n">
        <v>265</v>
      </c>
      <c r="L15" s="26" t="s">
        <v>62</v>
      </c>
      <c r="M15" s="26" t="s">
        <v>61</v>
      </c>
      <c r="N15" s="26" t="s">
        <v>105</v>
      </c>
      <c r="O15" s="26" t="n">
        <f aca="false">F15+G15+H15</f>
        <v>4928</v>
      </c>
      <c r="P15" s="28" t="n">
        <f aca="false">IFERROR(O15/I15,0)</f>
        <v>0.145214521452145</v>
      </c>
    </row>
    <row r="16" customFormat="false" ht="15" hidden="false" customHeight="false" outlineLevel="0" collapsed="false">
      <c r="A16" s="26" t="s">
        <v>118</v>
      </c>
      <c r="B16" s="26" t="s">
        <v>36</v>
      </c>
      <c r="C16" s="27" t="n">
        <v>45589</v>
      </c>
      <c r="D16" s="26" t="s">
        <v>53</v>
      </c>
      <c r="E16" s="26" t="s">
        <v>119</v>
      </c>
      <c r="F16" s="26" t="n">
        <v>3888</v>
      </c>
      <c r="G16" s="26" t="n">
        <v>604</v>
      </c>
      <c r="H16" s="26" t="n">
        <v>128</v>
      </c>
      <c r="I16" s="26" t="n">
        <v>77760</v>
      </c>
      <c r="J16" s="26" t="n">
        <v>77167</v>
      </c>
      <c r="K16" s="26" t="n">
        <v>20</v>
      </c>
      <c r="L16" s="26" t="s">
        <v>61</v>
      </c>
      <c r="M16" s="26" t="s">
        <v>60</v>
      </c>
      <c r="N16" s="26" t="s">
        <v>97</v>
      </c>
      <c r="O16" s="26" t="n">
        <f aca="false">F16+G16+H16</f>
        <v>4620</v>
      </c>
      <c r="P16" s="28" t="n">
        <f aca="false">IFERROR(O16/I16,0)</f>
        <v>0.0594135802469136</v>
      </c>
    </row>
    <row r="17" customFormat="false" ht="15" hidden="false" customHeight="false" outlineLevel="0" collapsed="false">
      <c r="A17" s="26" t="s">
        <v>120</v>
      </c>
      <c r="B17" s="26" t="s">
        <v>36</v>
      </c>
      <c r="C17" s="27" t="n">
        <v>45530</v>
      </c>
      <c r="D17" s="26" t="s">
        <v>52</v>
      </c>
      <c r="E17" s="26" t="s">
        <v>99</v>
      </c>
      <c r="F17" s="26" t="n">
        <v>3452</v>
      </c>
      <c r="G17" s="26" t="n">
        <v>377</v>
      </c>
      <c r="H17" s="26" t="n">
        <v>360</v>
      </c>
      <c r="I17" s="26" t="n">
        <v>55232</v>
      </c>
      <c r="J17" s="26" t="n">
        <v>55075</v>
      </c>
      <c r="K17" s="26" t="n">
        <v>87</v>
      </c>
      <c r="L17" s="26" t="s">
        <v>62</v>
      </c>
      <c r="M17" s="26" t="s">
        <v>60</v>
      </c>
      <c r="N17" s="26" t="s">
        <v>105</v>
      </c>
      <c r="O17" s="26" t="n">
        <f aca="false">F17+G17+H17</f>
        <v>4189</v>
      </c>
      <c r="P17" s="28" t="n">
        <f aca="false">IFERROR(O17/I17,0)</f>
        <v>0.0758437137891078</v>
      </c>
    </row>
    <row r="18" customFormat="false" ht="15" hidden="false" customHeight="false" outlineLevel="0" collapsed="false">
      <c r="A18" s="26" t="s">
        <v>121</v>
      </c>
      <c r="B18" s="26" t="s">
        <v>36</v>
      </c>
      <c r="C18" s="27" t="n">
        <v>45782</v>
      </c>
      <c r="D18" s="26" t="s">
        <v>52</v>
      </c>
      <c r="E18" s="26" t="s">
        <v>99</v>
      </c>
      <c r="F18" s="26" t="n">
        <v>4441</v>
      </c>
      <c r="G18" s="26" t="n">
        <v>511</v>
      </c>
      <c r="H18" s="26" t="n">
        <v>70</v>
      </c>
      <c r="I18" s="26" t="n">
        <v>53292</v>
      </c>
      <c r="J18" s="26" t="n">
        <v>53082</v>
      </c>
      <c r="K18" s="26" t="n">
        <v>159</v>
      </c>
      <c r="L18" s="26" t="s">
        <v>60</v>
      </c>
      <c r="M18" s="26"/>
      <c r="N18" s="26" t="s">
        <v>105</v>
      </c>
      <c r="O18" s="26" t="n">
        <f aca="false">F18+G18+H18</f>
        <v>5022</v>
      </c>
      <c r="P18" s="28" t="n">
        <f aca="false">IFERROR(O18/I18,0)</f>
        <v>0.0942355325377167</v>
      </c>
    </row>
    <row r="19" customFormat="false" ht="15" hidden="false" customHeight="false" outlineLevel="0" collapsed="false">
      <c r="A19" s="26" t="s">
        <v>122</v>
      </c>
      <c r="B19" s="26" t="s">
        <v>37</v>
      </c>
      <c r="C19" s="27" t="n">
        <v>45523</v>
      </c>
      <c r="D19" s="26" t="s">
        <v>50</v>
      </c>
      <c r="E19" s="26" t="s">
        <v>96</v>
      </c>
      <c r="F19" s="26" t="n">
        <v>3000</v>
      </c>
      <c r="G19" s="26" t="n">
        <v>382</v>
      </c>
      <c r="H19" s="26" t="n">
        <v>325</v>
      </c>
      <c r="I19" s="26" t="n">
        <v>36000</v>
      </c>
      <c r="J19" s="26" t="n">
        <v>35819</v>
      </c>
      <c r="K19" s="26" t="n">
        <v>19</v>
      </c>
      <c r="L19" s="26" t="s">
        <v>64</v>
      </c>
      <c r="M19" s="26"/>
      <c r="N19" s="26" t="s">
        <v>100</v>
      </c>
      <c r="O19" s="26" t="n">
        <f aca="false">F19+G19+H19</f>
        <v>3707</v>
      </c>
      <c r="P19" s="28" t="n">
        <f aca="false">IFERROR(O19/I19,0)</f>
        <v>0.102972222222222</v>
      </c>
    </row>
    <row r="20" customFormat="false" ht="15" hidden="false" customHeight="false" outlineLevel="0" collapsed="false">
      <c r="A20" s="26" t="s">
        <v>123</v>
      </c>
      <c r="B20" s="26" t="s">
        <v>37</v>
      </c>
      <c r="C20" s="27" t="n">
        <v>45466</v>
      </c>
      <c r="D20" s="26" t="s">
        <v>53</v>
      </c>
      <c r="E20" s="26" t="s">
        <v>119</v>
      </c>
      <c r="F20" s="26" t="n">
        <v>1071</v>
      </c>
      <c r="G20" s="26" t="n">
        <v>519</v>
      </c>
      <c r="H20" s="26" t="n">
        <v>22</v>
      </c>
      <c r="I20" s="26" t="n">
        <v>16065</v>
      </c>
      <c r="J20" s="26" t="n">
        <v>15865</v>
      </c>
      <c r="K20" s="26" t="n">
        <v>103</v>
      </c>
      <c r="L20" s="26" t="s">
        <v>62</v>
      </c>
      <c r="M20" s="26" t="s">
        <v>64</v>
      </c>
      <c r="N20" s="26" t="s">
        <v>105</v>
      </c>
      <c r="O20" s="26" t="n">
        <f aca="false">F20+G20+H20</f>
        <v>1612</v>
      </c>
      <c r="P20" s="28" t="n">
        <f aca="false">IFERROR(O20/I20,0)</f>
        <v>0.100342359165889</v>
      </c>
    </row>
    <row r="21" customFormat="false" ht="15" hidden="false" customHeight="false" outlineLevel="0" collapsed="false">
      <c r="A21" s="26" t="s">
        <v>124</v>
      </c>
      <c r="B21" s="26" t="s">
        <v>37</v>
      </c>
      <c r="C21" s="27" t="n">
        <v>45544</v>
      </c>
      <c r="D21" s="26" t="s">
        <v>48</v>
      </c>
      <c r="E21" s="26" t="s">
        <v>107</v>
      </c>
      <c r="F21" s="26" t="n">
        <v>4054</v>
      </c>
      <c r="G21" s="26" t="n">
        <v>488</v>
      </c>
      <c r="H21" s="26" t="n">
        <v>373</v>
      </c>
      <c r="I21" s="26" t="n">
        <v>77026</v>
      </c>
      <c r="J21" s="26" t="n">
        <v>76881</v>
      </c>
      <c r="K21" s="26" t="n">
        <v>25</v>
      </c>
      <c r="L21" s="26" t="s">
        <v>61</v>
      </c>
      <c r="M21" s="26" t="s">
        <v>62</v>
      </c>
      <c r="N21" s="26" t="s">
        <v>105</v>
      </c>
      <c r="O21" s="26" t="n">
        <f aca="false">F21+G21+H21</f>
        <v>4915</v>
      </c>
      <c r="P21" s="28" t="n">
        <f aca="false">IFERROR(O21/I21,0)</f>
        <v>0.0638096227247942</v>
      </c>
    </row>
    <row r="22" customFormat="false" ht="15" hidden="false" customHeight="false" outlineLevel="0" collapsed="false">
      <c r="A22" s="26" t="s">
        <v>125</v>
      </c>
      <c r="B22" s="26" t="s">
        <v>37</v>
      </c>
      <c r="C22" s="27" t="n">
        <v>45661</v>
      </c>
      <c r="D22" s="26" t="s">
        <v>50</v>
      </c>
      <c r="E22" s="26" t="s">
        <v>96</v>
      </c>
      <c r="F22" s="26" t="n">
        <v>4838</v>
      </c>
      <c r="G22" s="26" t="n">
        <v>640</v>
      </c>
      <c r="H22" s="26" t="n">
        <v>128</v>
      </c>
      <c r="I22" s="26" t="n">
        <v>72570</v>
      </c>
      <c r="J22" s="26" t="n">
        <v>72396</v>
      </c>
      <c r="K22" s="26" t="n">
        <v>83</v>
      </c>
      <c r="L22" s="26" t="s">
        <v>64</v>
      </c>
      <c r="M22" s="26" t="s">
        <v>63</v>
      </c>
      <c r="N22" s="26" t="s">
        <v>105</v>
      </c>
      <c r="O22" s="26" t="n">
        <f aca="false">F22+G22+H22</f>
        <v>5606</v>
      </c>
      <c r="P22" s="28" t="n">
        <f aca="false">IFERROR(O22/I22,0)</f>
        <v>0.0772495521565385</v>
      </c>
    </row>
    <row r="23" customFormat="false" ht="15" hidden="false" customHeight="false" outlineLevel="0" collapsed="false">
      <c r="A23" s="26" t="s">
        <v>126</v>
      </c>
      <c r="B23" s="26" t="s">
        <v>36</v>
      </c>
      <c r="C23" s="27" t="n">
        <v>45715</v>
      </c>
      <c r="D23" s="26" t="s">
        <v>52</v>
      </c>
      <c r="E23" s="26" t="s">
        <v>99</v>
      </c>
      <c r="F23" s="26" t="n">
        <v>1570</v>
      </c>
      <c r="G23" s="26" t="n">
        <v>187</v>
      </c>
      <c r="H23" s="26" t="n">
        <v>260</v>
      </c>
      <c r="I23" s="26" t="n">
        <v>25120</v>
      </c>
      <c r="J23" s="26" t="n">
        <v>24613</v>
      </c>
      <c r="K23" s="26" t="n">
        <v>133</v>
      </c>
      <c r="L23" s="26" t="s">
        <v>62</v>
      </c>
      <c r="M23" s="26"/>
      <c r="N23" s="26" t="s">
        <v>113</v>
      </c>
      <c r="O23" s="26" t="n">
        <f aca="false">F23+G23+H23</f>
        <v>2017</v>
      </c>
      <c r="P23" s="28" t="n">
        <f aca="false">IFERROR(O23/I23,0)</f>
        <v>0.0802945859872612</v>
      </c>
    </row>
    <row r="24" customFormat="false" ht="15" hidden="false" customHeight="false" outlineLevel="0" collapsed="false">
      <c r="A24" s="26" t="s">
        <v>127</v>
      </c>
      <c r="B24" s="26" t="s">
        <v>36</v>
      </c>
      <c r="C24" s="27" t="n">
        <v>45602</v>
      </c>
      <c r="D24" s="26" t="s">
        <v>53</v>
      </c>
      <c r="E24" s="26" t="s">
        <v>119</v>
      </c>
      <c r="F24" s="26" t="n">
        <v>1606</v>
      </c>
      <c r="G24" s="26" t="n">
        <v>547</v>
      </c>
      <c r="H24" s="26" t="n">
        <v>316</v>
      </c>
      <c r="I24" s="26" t="n">
        <v>32120</v>
      </c>
      <c r="J24" s="26" t="n">
        <v>31736</v>
      </c>
      <c r="K24" s="26" t="n">
        <v>225</v>
      </c>
      <c r="L24" s="26" t="s">
        <v>62</v>
      </c>
      <c r="M24" s="26"/>
      <c r="N24" s="26" t="s">
        <v>105</v>
      </c>
      <c r="O24" s="26" t="n">
        <f aca="false">F24+G24+H24</f>
        <v>2469</v>
      </c>
      <c r="P24" s="28" t="n">
        <f aca="false">IFERROR(O24/I24,0)</f>
        <v>0.07686799501868</v>
      </c>
    </row>
    <row r="25" customFormat="false" ht="15" hidden="false" customHeight="false" outlineLevel="0" collapsed="false">
      <c r="A25" s="26" t="s">
        <v>128</v>
      </c>
      <c r="B25" s="26" t="s">
        <v>36</v>
      </c>
      <c r="C25" s="27" t="n">
        <v>45680</v>
      </c>
      <c r="D25" s="26" t="s">
        <v>53</v>
      </c>
      <c r="E25" s="26" t="s">
        <v>119</v>
      </c>
      <c r="F25" s="26" t="n">
        <v>3961</v>
      </c>
      <c r="G25" s="26" t="n">
        <v>761</v>
      </c>
      <c r="H25" s="26" t="n">
        <v>131</v>
      </c>
      <c r="I25" s="26" t="n">
        <v>67337</v>
      </c>
      <c r="J25" s="26" t="n">
        <v>66615</v>
      </c>
      <c r="K25" s="26" t="n">
        <v>161</v>
      </c>
      <c r="L25" s="26" t="s">
        <v>63</v>
      </c>
      <c r="M25" s="26"/>
      <c r="N25" s="26" t="s">
        <v>100</v>
      </c>
      <c r="O25" s="26" t="n">
        <f aca="false">F25+G25+H25</f>
        <v>4853</v>
      </c>
      <c r="P25" s="28" t="n">
        <f aca="false">IFERROR(O25/I25,0)</f>
        <v>0.0720703328036592</v>
      </c>
    </row>
    <row r="26" customFormat="false" ht="15" hidden="false" customHeight="false" outlineLevel="0" collapsed="false">
      <c r="A26" s="26" t="s">
        <v>129</v>
      </c>
      <c r="B26" s="26" t="s">
        <v>38</v>
      </c>
      <c r="C26" s="27" t="n">
        <v>45757</v>
      </c>
      <c r="D26" s="26" t="s">
        <v>48</v>
      </c>
      <c r="E26" s="26" t="s">
        <v>107</v>
      </c>
      <c r="F26" s="26" t="n">
        <v>3128</v>
      </c>
      <c r="G26" s="26" t="n">
        <v>211</v>
      </c>
      <c r="H26" s="26" t="n">
        <v>197</v>
      </c>
      <c r="I26" s="26" t="n">
        <v>59432</v>
      </c>
      <c r="J26" s="26" t="n">
        <v>59182</v>
      </c>
      <c r="K26" s="26" t="n">
        <v>238</v>
      </c>
      <c r="L26" s="26" t="s">
        <v>64</v>
      </c>
      <c r="M26" s="26" t="s">
        <v>62</v>
      </c>
      <c r="N26" s="26" t="s">
        <v>97</v>
      </c>
      <c r="O26" s="26" t="n">
        <f aca="false">F26+G26+H26</f>
        <v>3536</v>
      </c>
      <c r="P26" s="28" t="n">
        <f aca="false">IFERROR(O26/I26,0)</f>
        <v>0.0594965675057208</v>
      </c>
    </row>
    <row r="27" customFormat="false" ht="15" hidden="false" customHeight="false" outlineLevel="0" collapsed="false">
      <c r="A27" s="26" t="s">
        <v>130</v>
      </c>
      <c r="B27" s="26" t="s">
        <v>39</v>
      </c>
      <c r="C27" s="27" t="n">
        <v>45752</v>
      </c>
      <c r="D27" s="26" t="s">
        <v>50</v>
      </c>
      <c r="E27" s="26" t="s">
        <v>96</v>
      </c>
      <c r="F27" s="26" t="n">
        <v>3009</v>
      </c>
      <c r="G27" s="26" t="n">
        <v>413</v>
      </c>
      <c r="H27" s="26" t="n">
        <v>358</v>
      </c>
      <c r="I27" s="26" t="n">
        <v>42126</v>
      </c>
      <c r="J27" s="26" t="n">
        <v>41309</v>
      </c>
      <c r="K27" s="26" t="n">
        <v>211</v>
      </c>
      <c r="L27" s="26" t="s">
        <v>62</v>
      </c>
      <c r="M27" s="26"/>
      <c r="N27" s="26" t="s">
        <v>100</v>
      </c>
      <c r="O27" s="26" t="n">
        <f aca="false">F27+G27+H27</f>
        <v>3780</v>
      </c>
      <c r="P27" s="28" t="n">
        <f aca="false">IFERROR(O27/I27,0)</f>
        <v>0.0897308075772682</v>
      </c>
    </row>
    <row r="28" customFormat="false" ht="15" hidden="false" customHeight="false" outlineLevel="0" collapsed="false">
      <c r="A28" s="26" t="s">
        <v>131</v>
      </c>
      <c r="B28" s="26" t="s">
        <v>39</v>
      </c>
      <c r="C28" s="27" t="n">
        <v>45552</v>
      </c>
      <c r="D28" s="26" t="s">
        <v>52</v>
      </c>
      <c r="E28" s="26" t="s">
        <v>99</v>
      </c>
      <c r="F28" s="26" t="n">
        <v>2076</v>
      </c>
      <c r="G28" s="26" t="n">
        <v>195</v>
      </c>
      <c r="H28" s="26" t="n">
        <v>104</v>
      </c>
      <c r="I28" s="26" t="n">
        <v>33216</v>
      </c>
      <c r="J28" s="26" t="n">
        <v>32244</v>
      </c>
      <c r="K28" s="26" t="n">
        <v>51</v>
      </c>
      <c r="L28" s="26" t="s">
        <v>63</v>
      </c>
      <c r="M28" s="26"/>
      <c r="N28" s="26" t="s">
        <v>113</v>
      </c>
      <c r="O28" s="26" t="n">
        <f aca="false">F28+G28+H28</f>
        <v>2375</v>
      </c>
      <c r="P28" s="28" t="n">
        <f aca="false">IFERROR(O28/I28,0)</f>
        <v>0.0715016859344894</v>
      </c>
    </row>
    <row r="29" customFormat="false" ht="15" hidden="false" customHeight="false" outlineLevel="0" collapsed="false">
      <c r="A29" s="26" t="s">
        <v>132</v>
      </c>
      <c r="B29" s="26" t="s">
        <v>37</v>
      </c>
      <c r="C29" s="27" t="n">
        <v>45720</v>
      </c>
      <c r="D29" s="26" t="s">
        <v>53</v>
      </c>
      <c r="E29" s="26" t="s">
        <v>119</v>
      </c>
      <c r="F29" s="26" t="n">
        <v>432</v>
      </c>
      <c r="G29" s="26" t="n">
        <v>624</v>
      </c>
      <c r="H29" s="26" t="n">
        <v>123</v>
      </c>
      <c r="I29" s="26" t="n">
        <v>6912</v>
      </c>
      <c r="J29" s="26" t="n">
        <v>6259</v>
      </c>
      <c r="K29" s="26" t="n">
        <v>79</v>
      </c>
      <c r="L29" s="26" t="s">
        <v>62</v>
      </c>
      <c r="M29" s="26" t="s">
        <v>63</v>
      </c>
      <c r="N29" s="26" t="s">
        <v>100</v>
      </c>
      <c r="O29" s="26" t="n">
        <f aca="false">F29+G29+H29</f>
        <v>1179</v>
      </c>
      <c r="P29" s="28" t="n">
        <f aca="false">IFERROR(O29/I29,0)</f>
        <v>0.170572916666667</v>
      </c>
    </row>
    <row r="30" customFormat="false" ht="15" hidden="false" customHeight="false" outlineLevel="0" collapsed="false">
      <c r="A30" s="26" t="s">
        <v>133</v>
      </c>
      <c r="B30" s="26" t="s">
        <v>37</v>
      </c>
      <c r="C30" s="27" t="n">
        <v>45688</v>
      </c>
      <c r="D30" s="26" t="s">
        <v>48</v>
      </c>
      <c r="E30" s="26" t="s">
        <v>107</v>
      </c>
      <c r="F30" s="26" t="n">
        <v>2566</v>
      </c>
      <c r="G30" s="26" t="n">
        <v>118</v>
      </c>
      <c r="H30" s="26" t="n">
        <v>37</v>
      </c>
      <c r="I30" s="26" t="n">
        <v>12830</v>
      </c>
      <c r="J30" s="26" t="n">
        <v>12264</v>
      </c>
      <c r="K30" s="26" t="n">
        <v>221</v>
      </c>
      <c r="L30" s="26" t="s">
        <v>63</v>
      </c>
      <c r="M30" s="26" t="s">
        <v>61</v>
      </c>
      <c r="N30" s="26" t="s">
        <v>105</v>
      </c>
      <c r="O30" s="26" t="n">
        <f aca="false">F30+G30+H30</f>
        <v>2721</v>
      </c>
      <c r="P30" s="28" t="n">
        <f aca="false">IFERROR(O30/I30,0)</f>
        <v>0.212081060015588</v>
      </c>
    </row>
    <row r="31" customFormat="false" ht="15" hidden="false" customHeight="false" outlineLevel="0" collapsed="false">
      <c r="A31" s="26" t="s">
        <v>134</v>
      </c>
      <c r="B31" s="26" t="s">
        <v>37</v>
      </c>
      <c r="C31" s="27" t="n">
        <v>45713</v>
      </c>
      <c r="D31" s="26" t="s">
        <v>53</v>
      </c>
      <c r="E31" s="26" t="s">
        <v>119</v>
      </c>
      <c r="F31" s="26" t="n">
        <v>3095</v>
      </c>
      <c r="G31" s="26" t="n">
        <v>39</v>
      </c>
      <c r="H31" s="26" t="n">
        <v>78</v>
      </c>
      <c r="I31" s="26" t="n">
        <v>55710</v>
      </c>
      <c r="J31" s="26" t="n">
        <v>54808</v>
      </c>
      <c r="K31" s="26" t="n">
        <v>93</v>
      </c>
      <c r="L31" s="26" t="s">
        <v>62</v>
      </c>
      <c r="M31" s="26"/>
      <c r="N31" s="26" t="s">
        <v>113</v>
      </c>
      <c r="O31" s="26" t="n">
        <f aca="false">F31+G31+H31</f>
        <v>3212</v>
      </c>
      <c r="P31" s="28" t="n">
        <f aca="false">IFERROR(O31/I31,0)</f>
        <v>0.0576557171064441</v>
      </c>
    </row>
    <row r="32" customFormat="false" ht="15" hidden="false" customHeight="false" outlineLevel="0" collapsed="false">
      <c r="A32" s="26" t="s">
        <v>135</v>
      </c>
      <c r="B32" s="26" t="s">
        <v>37</v>
      </c>
      <c r="C32" s="27" t="n">
        <v>45642</v>
      </c>
      <c r="D32" s="26" t="s">
        <v>52</v>
      </c>
      <c r="E32" s="26" t="s">
        <v>99</v>
      </c>
      <c r="F32" s="26" t="n">
        <v>438</v>
      </c>
      <c r="G32" s="26" t="n">
        <v>153</v>
      </c>
      <c r="H32" s="26" t="n">
        <v>275</v>
      </c>
      <c r="I32" s="26" t="n">
        <v>3066</v>
      </c>
      <c r="J32" s="26" t="n">
        <v>2701</v>
      </c>
      <c r="K32" s="26" t="n">
        <v>282</v>
      </c>
      <c r="L32" s="26" t="s">
        <v>63</v>
      </c>
      <c r="M32" s="26"/>
      <c r="N32" s="26" t="s">
        <v>113</v>
      </c>
      <c r="O32" s="26" t="n">
        <f aca="false">F32+G32+H32</f>
        <v>866</v>
      </c>
      <c r="P32" s="28" t="n">
        <f aca="false">IFERROR(O32/I32,0)</f>
        <v>0.282452707110241</v>
      </c>
    </row>
    <row r="33" customFormat="false" ht="15" hidden="false" customHeight="false" outlineLevel="0" collapsed="false">
      <c r="A33" s="26" t="s">
        <v>136</v>
      </c>
      <c r="B33" s="26" t="s">
        <v>38</v>
      </c>
      <c r="C33" s="27" t="n">
        <v>45504</v>
      </c>
      <c r="D33" s="26" t="s">
        <v>48</v>
      </c>
      <c r="E33" s="26" t="s">
        <v>107</v>
      </c>
      <c r="F33" s="26" t="n">
        <v>2278</v>
      </c>
      <c r="G33" s="26" t="n">
        <v>10</v>
      </c>
      <c r="H33" s="26" t="n">
        <v>321</v>
      </c>
      <c r="I33" s="26" t="n">
        <v>13668</v>
      </c>
      <c r="J33" s="26" t="n">
        <v>12676</v>
      </c>
      <c r="K33" s="26" t="n">
        <v>275</v>
      </c>
      <c r="L33" s="26" t="s">
        <v>63</v>
      </c>
      <c r="M33" s="26" t="s">
        <v>61</v>
      </c>
      <c r="N33" s="26" t="s">
        <v>113</v>
      </c>
      <c r="O33" s="26" t="n">
        <f aca="false">F33+G33+H33</f>
        <v>2609</v>
      </c>
      <c r="P33" s="28" t="n">
        <f aca="false">IFERROR(O33/I33,0)</f>
        <v>0.190883816213052</v>
      </c>
    </row>
    <row r="34" customFormat="false" ht="15" hidden="false" customHeight="false" outlineLevel="0" collapsed="false">
      <c r="A34" s="26" t="s">
        <v>137</v>
      </c>
      <c r="B34" s="26" t="s">
        <v>36</v>
      </c>
      <c r="C34" s="27" t="n">
        <v>45525</v>
      </c>
      <c r="D34" s="26" t="s">
        <v>49</v>
      </c>
      <c r="E34" s="26" t="s">
        <v>110</v>
      </c>
      <c r="F34" s="26" t="n">
        <v>1407</v>
      </c>
      <c r="G34" s="26" t="n">
        <v>400</v>
      </c>
      <c r="H34" s="26" t="n">
        <v>351</v>
      </c>
      <c r="I34" s="26" t="n">
        <v>16884</v>
      </c>
      <c r="J34" s="26" t="n">
        <v>15954</v>
      </c>
      <c r="K34" s="26" t="n">
        <v>113</v>
      </c>
      <c r="L34" s="26" t="s">
        <v>61</v>
      </c>
      <c r="M34" s="26" t="s">
        <v>60</v>
      </c>
      <c r="N34" s="26" t="s">
        <v>105</v>
      </c>
      <c r="O34" s="26" t="n">
        <f aca="false">F34+G34+H34</f>
        <v>2158</v>
      </c>
      <c r="P34" s="28" t="n">
        <f aca="false">IFERROR(O34/I34,0)</f>
        <v>0.127813314380479</v>
      </c>
    </row>
    <row r="35" customFormat="false" ht="15" hidden="false" customHeight="false" outlineLevel="0" collapsed="false">
      <c r="A35" s="26" t="s">
        <v>138</v>
      </c>
      <c r="B35" s="26" t="s">
        <v>36</v>
      </c>
      <c r="C35" s="27" t="n">
        <v>45742</v>
      </c>
      <c r="D35" s="26" t="s">
        <v>52</v>
      </c>
      <c r="E35" s="26" t="s">
        <v>99</v>
      </c>
      <c r="F35" s="26" t="n">
        <v>1652</v>
      </c>
      <c r="G35" s="26" t="n">
        <v>89</v>
      </c>
      <c r="H35" s="26" t="n">
        <v>357</v>
      </c>
      <c r="I35" s="26" t="n">
        <v>29736</v>
      </c>
      <c r="J35" s="26" t="n">
        <v>28771</v>
      </c>
      <c r="K35" s="26" t="n">
        <v>215</v>
      </c>
      <c r="L35" s="26" t="s">
        <v>63</v>
      </c>
      <c r="M35" s="26" t="s">
        <v>60</v>
      </c>
      <c r="N35" s="26" t="s">
        <v>100</v>
      </c>
      <c r="O35" s="26" t="n">
        <f aca="false">F35+G35+H35</f>
        <v>2098</v>
      </c>
      <c r="P35" s="28" t="n">
        <f aca="false">IFERROR(O35/I35,0)</f>
        <v>0.0705542103847189</v>
      </c>
    </row>
    <row r="36" customFormat="false" ht="15" hidden="false" customHeight="false" outlineLevel="0" collapsed="false">
      <c r="A36" s="26" t="s">
        <v>139</v>
      </c>
      <c r="B36" s="26" t="s">
        <v>37</v>
      </c>
      <c r="C36" s="27" t="n">
        <v>45626</v>
      </c>
      <c r="D36" s="26" t="s">
        <v>53</v>
      </c>
      <c r="E36" s="26" t="s">
        <v>119</v>
      </c>
      <c r="F36" s="26" t="n">
        <v>3775</v>
      </c>
      <c r="G36" s="26" t="n">
        <v>16</v>
      </c>
      <c r="H36" s="26" t="n">
        <v>239</v>
      </c>
      <c r="I36" s="26" t="n">
        <v>33975</v>
      </c>
      <c r="J36" s="26" t="n">
        <v>33310</v>
      </c>
      <c r="K36" s="26" t="n">
        <v>271</v>
      </c>
      <c r="L36" s="26" t="s">
        <v>64</v>
      </c>
      <c r="M36" s="26" t="s">
        <v>62</v>
      </c>
      <c r="N36" s="26" t="s">
        <v>105</v>
      </c>
      <c r="O36" s="26" t="n">
        <f aca="false">F36+G36+H36</f>
        <v>4030</v>
      </c>
      <c r="P36" s="28" t="n">
        <f aca="false">IFERROR(O36/I36,0)</f>
        <v>0.118616629874908</v>
      </c>
    </row>
    <row r="37" customFormat="false" ht="15" hidden="false" customHeight="false" outlineLevel="0" collapsed="false">
      <c r="A37" s="26" t="s">
        <v>140</v>
      </c>
      <c r="B37" s="26" t="s">
        <v>37</v>
      </c>
      <c r="C37" s="27" t="n">
        <v>45766</v>
      </c>
      <c r="D37" s="26" t="s">
        <v>51</v>
      </c>
      <c r="E37" s="26" t="s">
        <v>103</v>
      </c>
      <c r="F37" s="26" t="n">
        <v>4518</v>
      </c>
      <c r="G37" s="26" t="n">
        <v>285</v>
      </c>
      <c r="H37" s="26" t="n">
        <v>383</v>
      </c>
      <c r="I37" s="26" t="n">
        <v>67770</v>
      </c>
      <c r="J37" s="26" t="n">
        <v>67621</v>
      </c>
      <c r="K37" s="26" t="n">
        <v>31</v>
      </c>
      <c r="L37" s="26" t="s">
        <v>60</v>
      </c>
      <c r="M37" s="26"/>
      <c r="N37" s="26" t="s">
        <v>100</v>
      </c>
      <c r="O37" s="26" t="n">
        <f aca="false">F37+G37+H37</f>
        <v>5186</v>
      </c>
      <c r="P37" s="28" t="n">
        <f aca="false">IFERROR(O37/I37,0)</f>
        <v>0.0765235354876789</v>
      </c>
    </row>
    <row r="38" customFormat="false" ht="15" hidden="false" customHeight="false" outlineLevel="0" collapsed="false">
      <c r="A38" s="26" t="s">
        <v>141</v>
      </c>
      <c r="B38" s="26" t="s">
        <v>36</v>
      </c>
      <c r="C38" s="27" t="n">
        <v>45663</v>
      </c>
      <c r="D38" s="26" t="s">
        <v>48</v>
      </c>
      <c r="E38" s="26" t="s">
        <v>107</v>
      </c>
      <c r="F38" s="26" t="n">
        <v>3024</v>
      </c>
      <c r="G38" s="26" t="n">
        <v>925</v>
      </c>
      <c r="H38" s="26" t="n">
        <v>350</v>
      </c>
      <c r="I38" s="26" t="n">
        <v>24192</v>
      </c>
      <c r="J38" s="26" t="n">
        <v>23518</v>
      </c>
      <c r="K38" s="26" t="n">
        <v>36</v>
      </c>
      <c r="L38" s="26" t="s">
        <v>62</v>
      </c>
      <c r="M38" s="26"/>
      <c r="N38" s="26" t="s">
        <v>105</v>
      </c>
      <c r="O38" s="26" t="n">
        <f aca="false">F38+G38+H38</f>
        <v>4299</v>
      </c>
      <c r="P38" s="28" t="n">
        <f aca="false">IFERROR(O38/I38,0)</f>
        <v>0.177703373015873</v>
      </c>
    </row>
    <row r="39" customFormat="false" ht="15" hidden="false" customHeight="false" outlineLevel="0" collapsed="false">
      <c r="A39" s="26" t="s">
        <v>142</v>
      </c>
      <c r="B39" s="26" t="s">
        <v>39</v>
      </c>
      <c r="C39" s="27" t="n">
        <v>45705</v>
      </c>
      <c r="D39" s="26" t="s">
        <v>50</v>
      </c>
      <c r="E39" s="26" t="s">
        <v>96</v>
      </c>
      <c r="F39" s="26" t="n">
        <v>3138</v>
      </c>
      <c r="G39" s="26" t="n">
        <v>123</v>
      </c>
      <c r="H39" s="26" t="n">
        <v>291</v>
      </c>
      <c r="I39" s="26" t="n">
        <v>28242</v>
      </c>
      <c r="J39" s="26" t="n">
        <v>27550</v>
      </c>
      <c r="K39" s="26" t="n">
        <v>87</v>
      </c>
      <c r="L39" s="26" t="s">
        <v>60</v>
      </c>
      <c r="M39" s="26"/>
      <c r="N39" s="26" t="s">
        <v>113</v>
      </c>
      <c r="O39" s="26" t="n">
        <f aca="false">F39+G39+H39</f>
        <v>3552</v>
      </c>
      <c r="P39" s="28" t="n">
        <f aca="false">IFERROR(O39/I39,0)</f>
        <v>0.125770129594221</v>
      </c>
    </row>
    <row r="40" customFormat="false" ht="15" hidden="false" customHeight="false" outlineLevel="0" collapsed="false">
      <c r="A40" s="26" t="s">
        <v>143</v>
      </c>
      <c r="B40" s="26" t="s">
        <v>36</v>
      </c>
      <c r="C40" s="27" t="n">
        <v>45621</v>
      </c>
      <c r="D40" s="26" t="s">
        <v>49</v>
      </c>
      <c r="E40" s="26" t="s">
        <v>110</v>
      </c>
      <c r="F40" s="26" t="n">
        <v>3564</v>
      </c>
      <c r="G40" s="26" t="n">
        <v>629</v>
      </c>
      <c r="H40" s="26" t="n">
        <v>177</v>
      </c>
      <c r="I40" s="26" t="n">
        <v>60588</v>
      </c>
      <c r="J40" s="26" t="n">
        <v>59627</v>
      </c>
      <c r="K40" s="26" t="n">
        <v>92</v>
      </c>
      <c r="L40" s="26" t="s">
        <v>60</v>
      </c>
      <c r="M40" s="26" t="s">
        <v>62</v>
      </c>
      <c r="N40" s="26" t="s">
        <v>105</v>
      </c>
      <c r="O40" s="26" t="n">
        <f aca="false">F40+G40+H40</f>
        <v>4370</v>
      </c>
      <c r="P40" s="28" t="n">
        <f aca="false">IFERROR(O40/I40,0)</f>
        <v>0.0721264936951211</v>
      </c>
    </row>
    <row r="41" customFormat="false" ht="15" hidden="false" customHeight="false" outlineLevel="0" collapsed="false">
      <c r="A41" s="26" t="s">
        <v>144</v>
      </c>
      <c r="B41" s="26" t="s">
        <v>38</v>
      </c>
      <c r="C41" s="27" t="n">
        <v>45723</v>
      </c>
      <c r="D41" s="26" t="s">
        <v>49</v>
      </c>
      <c r="E41" s="26" t="s">
        <v>110</v>
      </c>
      <c r="F41" s="26" t="n">
        <v>4750</v>
      </c>
      <c r="G41" s="26" t="n">
        <v>151</v>
      </c>
      <c r="H41" s="26" t="n">
        <v>415</v>
      </c>
      <c r="I41" s="26" t="n">
        <v>38000</v>
      </c>
      <c r="J41" s="26" t="n">
        <v>37792</v>
      </c>
      <c r="K41" s="26" t="n">
        <v>299</v>
      </c>
      <c r="L41" s="26" t="s">
        <v>64</v>
      </c>
      <c r="M41" s="26" t="s">
        <v>62</v>
      </c>
      <c r="N41" s="26" t="s">
        <v>100</v>
      </c>
      <c r="O41" s="26" t="n">
        <f aca="false">F41+G41+H41</f>
        <v>5316</v>
      </c>
      <c r="P41" s="28" t="n">
        <f aca="false">IFERROR(O41/I41,0)</f>
        <v>0.139894736842105</v>
      </c>
    </row>
    <row r="42" customFormat="false" ht="15" hidden="false" customHeight="false" outlineLevel="0" collapsed="false">
      <c r="A42" s="26" t="s">
        <v>145</v>
      </c>
      <c r="B42" s="26" t="s">
        <v>37</v>
      </c>
      <c r="C42" s="27" t="n">
        <v>45724</v>
      </c>
      <c r="D42" s="26" t="s">
        <v>50</v>
      </c>
      <c r="E42" s="26" t="s">
        <v>96</v>
      </c>
      <c r="F42" s="26" t="n">
        <v>456</v>
      </c>
      <c r="G42" s="26" t="n">
        <v>629</v>
      </c>
      <c r="H42" s="26" t="n">
        <v>428</v>
      </c>
      <c r="I42" s="26" t="n">
        <v>8208</v>
      </c>
      <c r="J42" s="26" t="n">
        <v>7377</v>
      </c>
      <c r="K42" s="26" t="n">
        <v>205</v>
      </c>
      <c r="L42" s="26" t="s">
        <v>62</v>
      </c>
      <c r="M42" s="26" t="s">
        <v>60</v>
      </c>
      <c r="N42" s="26" t="s">
        <v>105</v>
      </c>
      <c r="O42" s="26" t="n">
        <f aca="false">F42+G42+H42</f>
        <v>1513</v>
      </c>
      <c r="P42" s="28" t="n">
        <f aca="false">IFERROR(O42/I42,0)</f>
        <v>0.184332358674464</v>
      </c>
    </row>
    <row r="43" customFormat="false" ht="15" hidden="false" customHeight="false" outlineLevel="0" collapsed="false">
      <c r="A43" s="26" t="s">
        <v>146</v>
      </c>
      <c r="B43" s="26" t="s">
        <v>39</v>
      </c>
      <c r="C43" s="27" t="n">
        <v>45721</v>
      </c>
      <c r="D43" s="26" t="s">
        <v>50</v>
      </c>
      <c r="E43" s="26" t="s">
        <v>96</v>
      </c>
      <c r="F43" s="26" t="n">
        <v>1543</v>
      </c>
      <c r="G43" s="26" t="n">
        <v>820</v>
      </c>
      <c r="H43" s="26" t="n">
        <v>333</v>
      </c>
      <c r="I43" s="26" t="n">
        <v>12344</v>
      </c>
      <c r="J43" s="26" t="n">
        <v>11496</v>
      </c>
      <c r="K43" s="26" t="n">
        <v>241</v>
      </c>
      <c r="L43" s="26" t="s">
        <v>64</v>
      </c>
      <c r="M43" s="26"/>
      <c r="N43" s="26" t="s">
        <v>105</v>
      </c>
      <c r="O43" s="26" t="n">
        <f aca="false">F43+G43+H43</f>
        <v>2696</v>
      </c>
      <c r="P43" s="28" t="n">
        <f aca="false">IFERROR(O43/I43,0)</f>
        <v>0.218405703175632</v>
      </c>
    </row>
    <row r="44" customFormat="false" ht="15" hidden="false" customHeight="false" outlineLevel="0" collapsed="false">
      <c r="A44" s="26" t="s">
        <v>147</v>
      </c>
      <c r="B44" s="26" t="s">
        <v>37</v>
      </c>
      <c r="C44" s="27" t="n">
        <v>45640</v>
      </c>
      <c r="D44" s="26" t="s">
        <v>48</v>
      </c>
      <c r="E44" s="26" t="s">
        <v>107</v>
      </c>
      <c r="F44" s="26" t="n">
        <v>2174</v>
      </c>
      <c r="G44" s="26" t="n">
        <v>658</v>
      </c>
      <c r="H44" s="26" t="n">
        <v>15</v>
      </c>
      <c r="I44" s="26" t="n">
        <v>13044</v>
      </c>
      <c r="J44" s="26" t="n">
        <v>12206</v>
      </c>
      <c r="K44" s="26" t="n">
        <v>137</v>
      </c>
      <c r="L44" s="26" t="s">
        <v>62</v>
      </c>
      <c r="M44" s="26" t="s">
        <v>61</v>
      </c>
      <c r="N44" s="26" t="s">
        <v>113</v>
      </c>
      <c r="O44" s="26" t="n">
        <f aca="false">F44+G44+H44</f>
        <v>2847</v>
      </c>
      <c r="P44" s="28" t="n">
        <f aca="false">IFERROR(O44/I44,0)</f>
        <v>0.218261269549218</v>
      </c>
    </row>
    <row r="45" customFormat="false" ht="15" hidden="false" customHeight="false" outlineLevel="0" collapsed="false">
      <c r="A45" s="26" t="s">
        <v>148</v>
      </c>
      <c r="B45" s="26" t="s">
        <v>38</v>
      </c>
      <c r="C45" s="27" t="n">
        <v>45718</v>
      </c>
      <c r="D45" s="26" t="s">
        <v>49</v>
      </c>
      <c r="E45" s="26" t="s">
        <v>110</v>
      </c>
      <c r="F45" s="26" t="n">
        <v>2358</v>
      </c>
      <c r="G45" s="26" t="n">
        <v>784</v>
      </c>
      <c r="H45" s="26" t="n">
        <v>344</v>
      </c>
      <c r="I45" s="26" t="n">
        <v>35370</v>
      </c>
      <c r="J45" s="26" t="n">
        <v>34475</v>
      </c>
      <c r="K45" s="26" t="n">
        <v>216</v>
      </c>
      <c r="L45" s="26" t="s">
        <v>62</v>
      </c>
      <c r="M45" s="26" t="s">
        <v>64</v>
      </c>
      <c r="N45" s="26" t="s">
        <v>97</v>
      </c>
      <c r="O45" s="26" t="n">
        <f aca="false">F45+G45+H45</f>
        <v>3486</v>
      </c>
      <c r="P45" s="28" t="n">
        <f aca="false">IFERROR(O45/I45,0)</f>
        <v>0.0985581000848177</v>
      </c>
    </row>
    <row r="46" customFormat="false" ht="15" hidden="false" customHeight="false" outlineLevel="0" collapsed="false">
      <c r="A46" s="26" t="s">
        <v>149</v>
      </c>
      <c r="B46" s="26" t="s">
        <v>36</v>
      </c>
      <c r="C46" s="27" t="n">
        <v>45597</v>
      </c>
      <c r="D46" s="26" t="s">
        <v>53</v>
      </c>
      <c r="E46" s="26" t="s">
        <v>119</v>
      </c>
      <c r="F46" s="26" t="n">
        <v>3371</v>
      </c>
      <c r="G46" s="26" t="n">
        <v>106</v>
      </c>
      <c r="H46" s="26" t="n">
        <v>327</v>
      </c>
      <c r="I46" s="26" t="n">
        <v>50565</v>
      </c>
      <c r="J46" s="26" t="n">
        <v>49816</v>
      </c>
      <c r="K46" s="26" t="n">
        <v>176</v>
      </c>
      <c r="L46" s="26" t="s">
        <v>60</v>
      </c>
      <c r="M46" s="26"/>
      <c r="N46" s="26" t="s">
        <v>113</v>
      </c>
      <c r="O46" s="26" t="n">
        <f aca="false">F46+G46+H46</f>
        <v>3804</v>
      </c>
      <c r="P46" s="28" t="n">
        <f aca="false">IFERROR(O46/I46,0)</f>
        <v>0.0752299021061999</v>
      </c>
    </row>
    <row r="47" customFormat="false" ht="15" hidden="false" customHeight="false" outlineLevel="0" collapsed="false">
      <c r="A47" s="26" t="s">
        <v>150</v>
      </c>
      <c r="B47" s="26" t="s">
        <v>38</v>
      </c>
      <c r="C47" s="27" t="n">
        <v>45779</v>
      </c>
      <c r="D47" s="26" t="s">
        <v>53</v>
      </c>
      <c r="E47" s="26" t="s">
        <v>119</v>
      </c>
      <c r="F47" s="26" t="n">
        <v>1108</v>
      </c>
      <c r="G47" s="26" t="n">
        <v>177</v>
      </c>
      <c r="H47" s="26" t="n">
        <v>212</v>
      </c>
      <c r="I47" s="26" t="n">
        <v>8864</v>
      </c>
      <c r="J47" s="26" t="n">
        <v>8710</v>
      </c>
      <c r="K47" s="26" t="n">
        <v>97</v>
      </c>
      <c r="L47" s="26" t="s">
        <v>61</v>
      </c>
      <c r="M47" s="26"/>
      <c r="N47" s="26" t="s">
        <v>113</v>
      </c>
      <c r="O47" s="26" t="n">
        <f aca="false">F47+G47+H47</f>
        <v>1497</v>
      </c>
      <c r="P47" s="28" t="n">
        <f aca="false">IFERROR(O47/I47,0)</f>
        <v>0.168885379061372</v>
      </c>
    </row>
    <row r="48" customFormat="false" ht="15" hidden="false" customHeight="false" outlineLevel="0" collapsed="false">
      <c r="A48" s="26" t="s">
        <v>151</v>
      </c>
      <c r="B48" s="26" t="s">
        <v>38</v>
      </c>
      <c r="C48" s="27" t="n">
        <v>45712</v>
      </c>
      <c r="D48" s="26" t="s">
        <v>48</v>
      </c>
      <c r="E48" s="26" t="s">
        <v>107</v>
      </c>
      <c r="F48" s="26" t="n">
        <v>2704</v>
      </c>
      <c r="G48" s="26" t="n">
        <v>752</v>
      </c>
      <c r="H48" s="26" t="n">
        <v>153</v>
      </c>
      <c r="I48" s="26" t="n">
        <v>21632</v>
      </c>
      <c r="J48" s="26" t="n">
        <v>20792</v>
      </c>
      <c r="K48" s="26" t="n">
        <v>127</v>
      </c>
      <c r="L48" s="26" t="s">
        <v>60</v>
      </c>
      <c r="M48" s="26" t="s">
        <v>61</v>
      </c>
      <c r="N48" s="26" t="s">
        <v>97</v>
      </c>
      <c r="O48" s="26" t="n">
        <f aca="false">F48+G48+H48</f>
        <v>3609</v>
      </c>
      <c r="P48" s="28" t="n">
        <f aca="false">IFERROR(O48/I48,0)</f>
        <v>0.166836168639053</v>
      </c>
    </row>
    <row r="49" customFormat="false" ht="15" hidden="false" customHeight="false" outlineLevel="0" collapsed="false">
      <c r="A49" s="26" t="s">
        <v>152</v>
      </c>
      <c r="B49" s="26" t="s">
        <v>38</v>
      </c>
      <c r="C49" s="27" t="n">
        <v>45727</v>
      </c>
      <c r="D49" s="26" t="s">
        <v>51</v>
      </c>
      <c r="E49" s="26" t="s">
        <v>103</v>
      </c>
      <c r="F49" s="26" t="n">
        <v>1950</v>
      </c>
      <c r="G49" s="26" t="n">
        <v>295</v>
      </c>
      <c r="H49" s="26" t="n">
        <v>478</v>
      </c>
      <c r="I49" s="26" t="n">
        <v>37050</v>
      </c>
      <c r="J49" s="26" t="n">
        <v>36272</v>
      </c>
      <c r="K49" s="26" t="n">
        <v>119</v>
      </c>
      <c r="L49" s="26" t="s">
        <v>61</v>
      </c>
      <c r="M49" s="26" t="s">
        <v>64</v>
      </c>
      <c r="N49" s="26" t="s">
        <v>113</v>
      </c>
      <c r="O49" s="26" t="n">
        <f aca="false">F49+G49+H49</f>
        <v>2723</v>
      </c>
      <c r="P49" s="28" t="n">
        <f aca="false">IFERROR(O49/I49,0)</f>
        <v>0.0734952766531714</v>
      </c>
    </row>
    <row r="50" customFormat="false" ht="15" hidden="false" customHeight="false" outlineLevel="0" collapsed="false">
      <c r="A50" s="26" t="s">
        <v>153</v>
      </c>
      <c r="B50" s="26" t="s">
        <v>38</v>
      </c>
      <c r="C50" s="27" t="n">
        <v>45453</v>
      </c>
      <c r="D50" s="26" t="s">
        <v>51</v>
      </c>
      <c r="E50" s="26" t="s">
        <v>103</v>
      </c>
      <c r="F50" s="26" t="n">
        <v>2164</v>
      </c>
      <c r="G50" s="26" t="n">
        <v>549</v>
      </c>
      <c r="H50" s="26" t="n">
        <v>274</v>
      </c>
      <c r="I50" s="26" t="n">
        <v>28132</v>
      </c>
      <c r="J50" s="26" t="n">
        <v>27361</v>
      </c>
      <c r="K50" s="26" t="n">
        <v>177</v>
      </c>
      <c r="L50" s="26" t="s">
        <v>64</v>
      </c>
      <c r="M50" s="26"/>
      <c r="N50" s="26" t="s">
        <v>97</v>
      </c>
      <c r="O50" s="26" t="n">
        <f aca="false">F50+G50+H50</f>
        <v>2987</v>
      </c>
      <c r="P50" s="28" t="n">
        <f aca="false">IFERROR(O50/I50,0)</f>
        <v>0.106178017915541</v>
      </c>
    </row>
    <row r="51" customFormat="false" ht="15" hidden="false" customHeight="false" outlineLevel="0" collapsed="false">
      <c r="A51" s="26" t="s">
        <v>154</v>
      </c>
      <c r="B51" s="26" t="s">
        <v>39</v>
      </c>
      <c r="C51" s="27" t="n">
        <v>45476</v>
      </c>
      <c r="D51" s="26" t="s">
        <v>51</v>
      </c>
      <c r="E51" s="26" t="s">
        <v>103</v>
      </c>
      <c r="F51" s="26" t="n">
        <v>2754</v>
      </c>
      <c r="G51" s="26" t="n">
        <v>130</v>
      </c>
      <c r="H51" s="26" t="n">
        <v>90</v>
      </c>
      <c r="I51" s="26" t="n">
        <v>22032</v>
      </c>
      <c r="J51" s="26" t="n">
        <v>21288</v>
      </c>
      <c r="K51" s="26" t="n">
        <v>112</v>
      </c>
      <c r="L51" s="26" t="s">
        <v>61</v>
      </c>
      <c r="M51" s="26"/>
      <c r="N51" s="26" t="s">
        <v>97</v>
      </c>
      <c r="O51" s="26" t="n">
        <f aca="false">F51+G51+H51</f>
        <v>2974</v>
      </c>
      <c r="P51" s="28" t="n">
        <f aca="false">IFERROR(O51/I51,0)</f>
        <v>0.13498547567175</v>
      </c>
    </row>
    <row r="52" customFormat="false" ht="15" hidden="false" customHeight="false" outlineLevel="0" collapsed="false">
      <c r="A52" s="26" t="s">
        <v>155</v>
      </c>
      <c r="B52" s="26" t="s">
        <v>36</v>
      </c>
      <c r="C52" s="27" t="n">
        <v>45456</v>
      </c>
      <c r="D52" s="26" t="s">
        <v>48</v>
      </c>
      <c r="E52" s="26" t="s">
        <v>107</v>
      </c>
      <c r="F52" s="26" t="n">
        <v>2200</v>
      </c>
      <c r="G52" s="26" t="n">
        <v>504</v>
      </c>
      <c r="H52" s="26" t="n">
        <v>239</v>
      </c>
      <c r="I52" s="26" t="n">
        <v>37400</v>
      </c>
      <c r="J52" s="26" t="n">
        <v>36938</v>
      </c>
      <c r="K52" s="26" t="n">
        <v>225</v>
      </c>
      <c r="L52" s="26" t="s">
        <v>62</v>
      </c>
      <c r="M52" s="26"/>
      <c r="N52" s="26" t="s">
        <v>105</v>
      </c>
      <c r="O52" s="26" t="n">
        <f aca="false">F52+G52+H52</f>
        <v>2943</v>
      </c>
      <c r="P52" s="28" t="n">
        <f aca="false">IFERROR(O52/I52,0)</f>
        <v>0.0786898395721925</v>
      </c>
    </row>
    <row r="53" customFormat="false" ht="15" hidden="false" customHeight="false" outlineLevel="0" collapsed="false">
      <c r="A53" s="26" t="s">
        <v>156</v>
      </c>
      <c r="B53" s="26" t="s">
        <v>36</v>
      </c>
      <c r="C53" s="27" t="n">
        <v>45660</v>
      </c>
      <c r="D53" s="26" t="s">
        <v>49</v>
      </c>
      <c r="E53" s="26" t="s">
        <v>110</v>
      </c>
      <c r="F53" s="26" t="n">
        <v>947</v>
      </c>
      <c r="G53" s="26" t="n">
        <v>338</v>
      </c>
      <c r="H53" s="26" t="n">
        <v>350</v>
      </c>
      <c r="I53" s="26" t="n">
        <v>10417</v>
      </c>
      <c r="J53" s="26" t="n">
        <v>9730</v>
      </c>
      <c r="K53" s="26" t="n">
        <v>34</v>
      </c>
      <c r="L53" s="26" t="s">
        <v>61</v>
      </c>
      <c r="M53" s="26" t="s">
        <v>62</v>
      </c>
      <c r="N53" s="26" t="s">
        <v>105</v>
      </c>
      <c r="O53" s="26" t="n">
        <f aca="false">F53+G53+H53</f>
        <v>1635</v>
      </c>
      <c r="P53" s="28" t="n">
        <f aca="false">IFERROR(O53/I53,0)</f>
        <v>0.156954977440722</v>
      </c>
    </row>
    <row r="54" customFormat="false" ht="15" hidden="false" customHeight="false" outlineLevel="0" collapsed="false">
      <c r="A54" s="26" t="s">
        <v>157</v>
      </c>
      <c r="B54" s="26" t="s">
        <v>39</v>
      </c>
      <c r="C54" s="27" t="n">
        <v>45712</v>
      </c>
      <c r="D54" s="26" t="s">
        <v>48</v>
      </c>
      <c r="E54" s="26" t="s">
        <v>107</v>
      </c>
      <c r="F54" s="26" t="n">
        <v>804</v>
      </c>
      <c r="G54" s="26" t="n">
        <v>639</v>
      </c>
      <c r="H54" s="26" t="n">
        <v>43</v>
      </c>
      <c r="I54" s="26" t="n">
        <v>4020</v>
      </c>
      <c r="J54" s="26" t="n">
        <v>3144</v>
      </c>
      <c r="K54" s="26" t="n">
        <v>11</v>
      </c>
      <c r="L54" s="26" t="s">
        <v>64</v>
      </c>
      <c r="M54" s="26" t="s">
        <v>63</v>
      </c>
      <c r="N54" s="26" t="s">
        <v>113</v>
      </c>
      <c r="O54" s="26" t="n">
        <f aca="false">F54+G54+H54</f>
        <v>1486</v>
      </c>
      <c r="P54" s="28" t="n">
        <f aca="false">IFERROR(O54/I54,0)</f>
        <v>0.369651741293532</v>
      </c>
    </row>
    <row r="55" customFormat="false" ht="15" hidden="false" customHeight="false" outlineLevel="0" collapsed="false">
      <c r="A55" s="26" t="s">
        <v>158</v>
      </c>
      <c r="B55" s="26" t="s">
        <v>39</v>
      </c>
      <c r="C55" s="27" t="n">
        <v>45729</v>
      </c>
      <c r="D55" s="26" t="s">
        <v>48</v>
      </c>
      <c r="E55" s="26" t="s">
        <v>107</v>
      </c>
      <c r="F55" s="26" t="n">
        <v>1686</v>
      </c>
      <c r="G55" s="26" t="n">
        <v>904</v>
      </c>
      <c r="H55" s="26" t="n">
        <v>472</v>
      </c>
      <c r="I55" s="26" t="n">
        <v>18546</v>
      </c>
      <c r="J55" s="26" t="n">
        <v>18171</v>
      </c>
      <c r="K55" s="26" t="n">
        <v>52</v>
      </c>
      <c r="L55" s="26" t="s">
        <v>61</v>
      </c>
      <c r="M55" s="26" t="s">
        <v>60</v>
      </c>
      <c r="N55" s="26" t="s">
        <v>100</v>
      </c>
      <c r="O55" s="26" t="n">
        <f aca="false">F55+G55+H55</f>
        <v>3062</v>
      </c>
      <c r="P55" s="28" t="n">
        <f aca="false">IFERROR(O55/I55,0)</f>
        <v>0.165102987167044</v>
      </c>
    </row>
    <row r="56" customFormat="false" ht="15" hidden="false" customHeight="false" outlineLevel="0" collapsed="false">
      <c r="A56" s="26" t="s">
        <v>159</v>
      </c>
      <c r="B56" s="26" t="s">
        <v>36</v>
      </c>
      <c r="C56" s="27" t="n">
        <v>45460</v>
      </c>
      <c r="D56" s="26" t="s">
        <v>49</v>
      </c>
      <c r="E56" s="26" t="s">
        <v>110</v>
      </c>
      <c r="F56" s="26" t="n">
        <v>1226</v>
      </c>
      <c r="G56" s="26" t="n">
        <v>119</v>
      </c>
      <c r="H56" s="26" t="n">
        <v>7</v>
      </c>
      <c r="I56" s="26" t="n">
        <v>14712</v>
      </c>
      <c r="J56" s="26" t="n">
        <v>14049</v>
      </c>
      <c r="K56" s="26" t="n">
        <v>123</v>
      </c>
      <c r="L56" s="26" t="s">
        <v>62</v>
      </c>
      <c r="M56" s="26" t="s">
        <v>63</v>
      </c>
      <c r="N56" s="26" t="s">
        <v>113</v>
      </c>
      <c r="O56" s="26" t="n">
        <f aca="false">F56+G56+H56</f>
        <v>1352</v>
      </c>
      <c r="P56" s="28" t="n">
        <f aca="false">IFERROR(O56/I56,0)</f>
        <v>0.0918977705274606</v>
      </c>
    </row>
    <row r="57" customFormat="false" ht="15" hidden="false" customHeight="false" outlineLevel="0" collapsed="false">
      <c r="A57" s="26" t="s">
        <v>160</v>
      </c>
      <c r="B57" s="26" t="s">
        <v>36</v>
      </c>
      <c r="C57" s="27" t="n">
        <v>45644</v>
      </c>
      <c r="D57" s="26" t="s">
        <v>48</v>
      </c>
      <c r="E57" s="26" t="s">
        <v>107</v>
      </c>
      <c r="F57" s="26" t="n">
        <v>2946</v>
      </c>
      <c r="G57" s="26" t="n">
        <v>498</v>
      </c>
      <c r="H57" s="26" t="n">
        <v>367</v>
      </c>
      <c r="I57" s="26" t="n">
        <v>29460</v>
      </c>
      <c r="J57" s="26" t="n">
        <v>28527</v>
      </c>
      <c r="K57" s="26" t="n">
        <v>60</v>
      </c>
      <c r="L57" s="26" t="s">
        <v>64</v>
      </c>
      <c r="M57" s="26" t="s">
        <v>60</v>
      </c>
      <c r="N57" s="26" t="s">
        <v>100</v>
      </c>
      <c r="O57" s="26" t="n">
        <f aca="false">F57+G57+H57</f>
        <v>3811</v>
      </c>
      <c r="P57" s="28" t="n">
        <f aca="false">IFERROR(O57/I57,0)</f>
        <v>0.129361846571623</v>
      </c>
    </row>
    <row r="58" customFormat="false" ht="15" hidden="false" customHeight="false" outlineLevel="0" collapsed="false">
      <c r="A58" s="26" t="s">
        <v>161</v>
      </c>
      <c r="B58" s="26" t="s">
        <v>38</v>
      </c>
      <c r="C58" s="27" t="n">
        <v>45586</v>
      </c>
      <c r="D58" s="26" t="s">
        <v>53</v>
      </c>
      <c r="E58" s="26" t="s">
        <v>119</v>
      </c>
      <c r="F58" s="26" t="n">
        <v>2825</v>
      </c>
      <c r="G58" s="26" t="n">
        <v>535</v>
      </c>
      <c r="H58" s="26" t="n">
        <v>295</v>
      </c>
      <c r="I58" s="26" t="n">
        <v>45200</v>
      </c>
      <c r="J58" s="26" t="n">
        <v>44739</v>
      </c>
      <c r="K58" s="26" t="n">
        <v>169</v>
      </c>
      <c r="L58" s="26" t="s">
        <v>64</v>
      </c>
      <c r="M58" s="26"/>
      <c r="N58" s="26" t="s">
        <v>100</v>
      </c>
      <c r="O58" s="26" t="n">
        <f aca="false">F58+G58+H58</f>
        <v>3655</v>
      </c>
      <c r="P58" s="28" t="n">
        <f aca="false">IFERROR(O58/I58,0)</f>
        <v>0.0808628318584071</v>
      </c>
    </row>
    <row r="59" customFormat="false" ht="15" hidden="false" customHeight="false" outlineLevel="0" collapsed="false">
      <c r="A59" s="26" t="s">
        <v>162</v>
      </c>
      <c r="B59" s="26" t="s">
        <v>37</v>
      </c>
      <c r="C59" s="27" t="n">
        <v>45762</v>
      </c>
      <c r="D59" s="26" t="s">
        <v>50</v>
      </c>
      <c r="E59" s="26" t="s">
        <v>96</v>
      </c>
      <c r="F59" s="26" t="n">
        <v>103</v>
      </c>
      <c r="G59" s="26" t="n">
        <v>770</v>
      </c>
      <c r="H59" s="26" t="n">
        <v>19</v>
      </c>
      <c r="I59" s="26" t="n">
        <v>1030</v>
      </c>
      <c r="J59" s="26" t="n">
        <v>410</v>
      </c>
      <c r="K59" s="26" t="n">
        <v>262</v>
      </c>
      <c r="L59" s="26" t="s">
        <v>62</v>
      </c>
      <c r="M59" s="26"/>
      <c r="N59" s="26" t="s">
        <v>105</v>
      </c>
      <c r="O59" s="26" t="n">
        <f aca="false">F59+G59+H59</f>
        <v>892</v>
      </c>
      <c r="P59" s="28" t="n">
        <f aca="false">IFERROR(O59/I59,0)</f>
        <v>0.866019417475728</v>
      </c>
    </row>
    <row r="60" customFormat="false" ht="15" hidden="false" customHeight="false" outlineLevel="0" collapsed="false">
      <c r="A60" s="26" t="s">
        <v>163</v>
      </c>
      <c r="B60" s="26" t="s">
        <v>37</v>
      </c>
      <c r="C60" s="27" t="n">
        <v>45465</v>
      </c>
      <c r="D60" s="26" t="s">
        <v>52</v>
      </c>
      <c r="E60" s="26" t="s">
        <v>99</v>
      </c>
      <c r="F60" s="26" t="n">
        <v>2180</v>
      </c>
      <c r="G60" s="26" t="n">
        <v>263</v>
      </c>
      <c r="H60" s="26" t="n">
        <v>387</v>
      </c>
      <c r="I60" s="26" t="n">
        <v>30520</v>
      </c>
      <c r="J60" s="26" t="n">
        <v>30059</v>
      </c>
      <c r="K60" s="26" t="n">
        <v>174</v>
      </c>
      <c r="L60" s="26" t="s">
        <v>60</v>
      </c>
      <c r="M60" s="26"/>
      <c r="N60" s="26" t="s">
        <v>97</v>
      </c>
      <c r="O60" s="26" t="n">
        <f aca="false">F60+G60+H60</f>
        <v>2830</v>
      </c>
      <c r="P60" s="28" t="n">
        <f aca="false">IFERROR(O60/I60,0)</f>
        <v>0.0927260812581914</v>
      </c>
    </row>
    <row r="61" customFormat="false" ht="15" hidden="false" customHeight="false" outlineLevel="0" collapsed="false">
      <c r="A61" s="26" t="s">
        <v>164</v>
      </c>
      <c r="B61" s="26" t="s">
        <v>37</v>
      </c>
      <c r="C61" s="27" t="n">
        <v>45685</v>
      </c>
      <c r="D61" s="26" t="s">
        <v>53</v>
      </c>
      <c r="E61" s="26" t="s">
        <v>119</v>
      </c>
      <c r="F61" s="26" t="n">
        <v>904</v>
      </c>
      <c r="G61" s="26" t="n">
        <v>973</v>
      </c>
      <c r="H61" s="26" t="n">
        <v>63</v>
      </c>
      <c r="I61" s="26" t="n">
        <v>11752</v>
      </c>
      <c r="J61" s="26" t="n">
        <v>11580</v>
      </c>
      <c r="K61" s="26" t="n">
        <v>84</v>
      </c>
      <c r="L61" s="26" t="s">
        <v>64</v>
      </c>
      <c r="M61" s="26"/>
      <c r="N61" s="26" t="s">
        <v>97</v>
      </c>
      <c r="O61" s="26" t="n">
        <f aca="false">F61+G61+H61</f>
        <v>1940</v>
      </c>
      <c r="P61" s="28" t="n">
        <f aca="false">IFERROR(O61/I61,0)</f>
        <v>0.165078284547311</v>
      </c>
    </row>
    <row r="62" customFormat="false" ht="15" hidden="false" customHeight="false" outlineLevel="0" collapsed="false">
      <c r="A62" s="26" t="s">
        <v>165</v>
      </c>
      <c r="B62" s="26" t="s">
        <v>38</v>
      </c>
      <c r="C62" s="27" t="n">
        <v>45540</v>
      </c>
      <c r="D62" s="26" t="s">
        <v>53</v>
      </c>
      <c r="E62" s="26" t="s">
        <v>119</v>
      </c>
      <c r="F62" s="26" t="n">
        <v>4886</v>
      </c>
      <c r="G62" s="26" t="n">
        <v>983</v>
      </c>
      <c r="H62" s="26" t="n">
        <v>409</v>
      </c>
      <c r="I62" s="26" t="n">
        <v>43974</v>
      </c>
      <c r="J62" s="26" t="n">
        <v>43239</v>
      </c>
      <c r="K62" s="26" t="n">
        <v>65</v>
      </c>
      <c r="L62" s="26" t="s">
        <v>61</v>
      </c>
      <c r="M62" s="26"/>
      <c r="N62" s="26" t="s">
        <v>97</v>
      </c>
      <c r="O62" s="26" t="n">
        <f aca="false">F62+G62+H62</f>
        <v>6278</v>
      </c>
      <c r="P62" s="28" t="n">
        <f aca="false">IFERROR(O62/I62,0)</f>
        <v>0.142766180015464</v>
      </c>
    </row>
    <row r="63" customFormat="false" ht="15" hidden="false" customHeight="false" outlineLevel="0" collapsed="false">
      <c r="A63" s="26" t="s">
        <v>166</v>
      </c>
      <c r="B63" s="26" t="s">
        <v>38</v>
      </c>
      <c r="C63" s="27" t="n">
        <v>45618</v>
      </c>
      <c r="D63" s="26" t="s">
        <v>48</v>
      </c>
      <c r="E63" s="26" t="s">
        <v>107</v>
      </c>
      <c r="F63" s="26" t="n">
        <v>53</v>
      </c>
      <c r="G63" s="26" t="n">
        <v>81</v>
      </c>
      <c r="H63" s="26" t="n">
        <v>379</v>
      </c>
      <c r="I63" s="26" t="n">
        <v>954</v>
      </c>
      <c r="J63" s="26" t="n">
        <v>7</v>
      </c>
      <c r="K63" s="26" t="n">
        <v>148</v>
      </c>
      <c r="L63" s="26" t="s">
        <v>60</v>
      </c>
      <c r="M63" s="26"/>
      <c r="N63" s="26" t="s">
        <v>105</v>
      </c>
      <c r="O63" s="26" t="n">
        <f aca="false">F63+G63+H63</f>
        <v>513</v>
      </c>
      <c r="P63" s="28" t="n">
        <f aca="false">IFERROR(O63/I63,0)</f>
        <v>0.537735849056604</v>
      </c>
    </row>
    <row r="64" customFormat="false" ht="15" hidden="false" customHeight="false" outlineLevel="0" collapsed="false">
      <c r="A64" s="26" t="s">
        <v>167</v>
      </c>
      <c r="B64" s="26" t="s">
        <v>38</v>
      </c>
      <c r="C64" s="27" t="n">
        <v>45504</v>
      </c>
      <c r="D64" s="26" t="s">
        <v>48</v>
      </c>
      <c r="E64" s="26" t="s">
        <v>107</v>
      </c>
      <c r="F64" s="26" t="n">
        <v>4507</v>
      </c>
      <c r="G64" s="26" t="n">
        <v>217</v>
      </c>
      <c r="H64" s="26" t="n">
        <v>13</v>
      </c>
      <c r="I64" s="26" t="n">
        <v>90140</v>
      </c>
      <c r="J64" s="26" t="n">
        <v>89591</v>
      </c>
      <c r="K64" s="26" t="n">
        <v>125</v>
      </c>
      <c r="L64" s="26" t="s">
        <v>62</v>
      </c>
      <c r="M64" s="26"/>
      <c r="N64" s="26" t="s">
        <v>97</v>
      </c>
      <c r="O64" s="26" t="n">
        <f aca="false">F64+G64+H64</f>
        <v>4737</v>
      </c>
      <c r="P64" s="28" t="n">
        <f aca="false">IFERROR(O64/I64,0)</f>
        <v>0.0525515864211227</v>
      </c>
    </row>
    <row r="65" customFormat="false" ht="15" hidden="false" customHeight="false" outlineLevel="0" collapsed="false">
      <c r="A65" s="26" t="s">
        <v>168</v>
      </c>
      <c r="B65" s="26" t="s">
        <v>36</v>
      </c>
      <c r="C65" s="27" t="n">
        <v>45521</v>
      </c>
      <c r="D65" s="26" t="s">
        <v>49</v>
      </c>
      <c r="E65" s="26" t="s">
        <v>110</v>
      </c>
      <c r="F65" s="26" t="n">
        <v>2878</v>
      </c>
      <c r="G65" s="26" t="n">
        <v>248</v>
      </c>
      <c r="H65" s="26" t="n">
        <v>416</v>
      </c>
      <c r="I65" s="26" t="n">
        <v>43170</v>
      </c>
      <c r="J65" s="26" t="n">
        <v>42667</v>
      </c>
      <c r="K65" s="26" t="n">
        <v>75</v>
      </c>
      <c r="L65" s="26" t="s">
        <v>60</v>
      </c>
      <c r="M65" s="26" t="s">
        <v>63</v>
      </c>
      <c r="N65" s="26" t="s">
        <v>100</v>
      </c>
      <c r="O65" s="26" t="n">
        <f aca="false">F65+G65+H65</f>
        <v>3542</v>
      </c>
      <c r="P65" s="28" t="n">
        <f aca="false">IFERROR(O65/I65,0)</f>
        <v>0.0820477183229094</v>
      </c>
    </row>
    <row r="66" customFormat="false" ht="15" hidden="false" customHeight="false" outlineLevel="0" collapsed="false">
      <c r="A66" s="26" t="s">
        <v>169</v>
      </c>
      <c r="B66" s="26" t="s">
        <v>37</v>
      </c>
      <c r="C66" s="27" t="n">
        <v>45744</v>
      </c>
      <c r="D66" s="26" t="s">
        <v>51</v>
      </c>
      <c r="E66" s="26" t="s">
        <v>103</v>
      </c>
      <c r="F66" s="26" t="n">
        <v>1881</v>
      </c>
      <c r="G66" s="26" t="n">
        <v>501</v>
      </c>
      <c r="H66" s="26" t="n">
        <v>99</v>
      </c>
      <c r="I66" s="26" t="n">
        <v>20691</v>
      </c>
      <c r="J66" s="26" t="n">
        <v>19987</v>
      </c>
      <c r="K66" s="26" t="n">
        <v>289</v>
      </c>
      <c r="L66" s="26" t="s">
        <v>60</v>
      </c>
      <c r="M66" s="26"/>
      <c r="N66" s="26" t="s">
        <v>100</v>
      </c>
      <c r="O66" s="26" t="n">
        <f aca="false">F66+G66+H66</f>
        <v>2481</v>
      </c>
      <c r="P66" s="28" t="n">
        <f aca="false">IFERROR(O66/I66,0)</f>
        <v>0.119907206031608</v>
      </c>
    </row>
    <row r="67" customFormat="false" ht="15" hidden="false" customHeight="false" outlineLevel="0" collapsed="false">
      <c r="A67" s="26" t="s">
        <v>170</v>
      </c>
      <c r="B67" s="26" t="s">
        <v>38</v>
      </c>
      <c r="C67" s="27" t="n">
        <v>45499</v>
      </c>
      <c r="D67" s="26" t="s">
        <v>48</v>
      </c>
      <c r="E67" s="26" t="s">
        <v>107</v>
      </c>
      <c r="F67" s="26" t="n">
        <v>432</v>
      </c>
      <c r="G67" s="26" t="n">
        <v>171</v>
      </c>
      <c r="H67" s="26" t="n">
        <v>280</v>
      </c>
      <c r="I67" s="26" t="n">
        <v>3024</v>
      </c>
      <c r="J67" s="26" t="n">
        <v>2285</v>
      </c>
      <c r="K67" s="26" t="n">
        <v>184</v>
      </c>
      <c r="L67" s="26" t="s">
        <v>61</v>
      </c>
      <c r="M67" s="26"/>
      <c r="N67" s="26" t="s">
        <v>105</v>
      </c>
      <c r="O67" s="26" t="n">
        <f aca="false">F67+G67+H67</f>
        <v>883</v>
      </c>
      <c r="P67" s="28" t="n">
        <f aca="false">IFERROR(O67/I67,0)</f>
        <v>0.291997354497355</v>
      </c>
    </row>
    <row r="68" customFormat="false" ht="15" hidden="false" customHeight="false" outlineLevel="0" collapsed="false">
      <c r="A68" s="26" t="s">
        <v>171</v>
      </c>
      <c r="B68" s="26" t="s">
        <v>36</v>
      </c>
      <c r="C68" s="27" t="n">
        <v>45745</v>
      </c>
      <c r="D68" s="26" t="s">
        <v>48</v>
      </c>
      <c r="E68" s="26" t="s">
        <v>107</v>
      </c>
      <c r="F68" s="26" t="n">
        <v>4712</v>
      </c>
      <c r="G68" s="26" t="n">
        <v>568</v>
      </c>
      <c r="H68" s="26" t="n">
        <v>127</v>
      </c>
      <c r="I68" s="26" t="n">
        <v>84816</v>
      </c>
      <c r="J68" s="26" t="n">
        <v>84691</v>
      </c>
      <c r="K68" s="26" t="n">
        <v>100</v>
      </c>
      <c r="L68" s="26" t="s">
        <v>60</v>
      </c>
      <c r="M68" s="26"/>
      <c r="N68" s="26" t="s">
        <v>97</v>
      </c>
      <c r="O68" s="26" t="n">
        <f aca="false">F68+G68+H68</f>
        <v>5407</v>
      </c>
      <c r="P68" s="28" t="n">
        <f aca="false">IFERROR(O68/I68,0)</f>
        <v>0.0637497641954348</v>
      </c>
    </row>
    <row r="69" customFormat="false" ht="15" hidden="false" customHeight="false" outlineLevel="0" collapsed="false">
      <c r="A69" s="26" t="s">
        <v>172</v>
      </c>
      <c r="B69" s="26" t="s">
        <v>37</v>
      </c>
      <c r="C69" s="27" t="n">
        <v>45634</v>
      </c>
      <c r="D69" s="26" t="s">
        <v>51</v>
      </c>
      <c r="E69" s="26" t="s">
        <v>103</v>
      </c>
      <c r="F69" s="26" t="n">
        <v>2610</v>
      </c>
      <c r="G69" s="26" t="n">
        <v>126</v>
      </c>
      <c r="H69" s="26" t="n">
        <v>288</v>
      </c>
      <c r="I69" s="26" t="n">
        <v>15660</v>
      </c>
      <c r="J69" s="26" t="n">
        <v>15145</v>
      </c>
      <c r="K69" s="26" t="n">
        <v>73</v>
      </c>
      <c r="L69" s="26" t="s">
        <v>61</v>
      </c>
      <c r="M69" s="26"/>
      <c r="N69" s="26" t="s">
        <v>97</v>
      </c>
      <c r="O69" s="26" t="n">
        <f aca="false">F69+G69+H69</f>
        <v>3024</v>
      </c>
      <c r="P69" s="28" t="n">
        <f aca="false">IFERROR(O69/I69,0)</f>
        <v>0.193103448275862</v>
      </c>
    </row>
    <row r="70" customFormat="false" ht="15" hidden="false" customHeight="false" outlineLevel="0" collapsed="false">
      <c r="A70" s="26" t="s">
        <v>173</v>
      </c>
      <c r="B70" s="26" t="s">
        <v>38</v>
      </c>
      <c r="C70" s="27" t="n">
        <v>45724</v>
      </c>
      <c r="D70" s="26" t="s">
        <v>52</v>
      </c>
      <c r="E70" s="26" t="s">
        <v>99</v>
      </c>
      <c r="F70" s="26" t="n">
        <v>1292</v>
      </c>
      <c r="G70" s="26" t="n">
        <v>626</v>
      </c>
      <c r="H70" s="26" t="n">
        <v>496</v>
      </c>
      <c r="I70" s="26" t="n">
        <v>25840</v>
      </c>
      <c r="J70" s="26" t="n">
        <v>24916</v>
      </c>
      <c r="K70" s="26" t="n">
        <v>149</v>
      </c>
      <c r="L70" s="26" t="s">
        <v>64</v>
      </c>
      <c r="M70" s="26" t="s">
        <v>63</v>
      </c>
      <c r="N70" s="26" t="s">
        <v>113</v>
      </c>
      <c r="O70" s="26" t="n">
        <f aca="false">F70+G70+H70</f>
        <v>2414</v>
      </c>
      <c r="P70" s="28" t="n">
        <f aca="false">IFERROR(O70/I70,0)</f>
        <v>0.093421052631579</v>
      </c>
    </row>
    <row r="71" customFormat="false" ht="15" hidden="false" customHeight="false" outlineLevel="0" collapsed="false">
      <c r="A71" s="26" t="s">
        <v>174</v>
      </c>
      <c r="B71" s="26" t="s">
        <v>36</v>
      </c>
      <c r="C71" s="27" t="n">
        <v>45749</v>
      </c>
      <c r="D71" s="26" t="s">
        <v>53</v>
      </c>
      <c r="E71" s="26" t="s">
        <v>119</v>
      </c>
      <c r="F71" s="26" t="n">
        <v>199</v>
      </c>
      <c r="G71" s="26" t="n">
        <v>772</v>
      </c>
      <c r="H71" s="26" t="n">
        <v>400</v>
      </c>
      <c r="I71" s="26" t="n">
        <v>3582</v>
      </c>
      <c r="J71" s="26" t="n">
        <v>2988</v>
      </c>
      <c r="K71" s="26" t="n">
        <v>43</v>
      </c>
      <c r="L71" s="26" t="s">
        <v>63</v>
      </c>
      <c r="M71" s="26"/>
      <c r="N71" s="26" t="s">
        <v>97</v>
      </c>
      <c r="O71" s="26" t="n">
        <f aca="false">F71+G71+H71</f>
        <v>1371</v>
      </c>
      <c r="P71" s="28" t="n">
        <f aca="false">IFERROR(O71/I71,0)</f>
        <v>0.382747068676717</v>
      </c>
    </row>
    <row r="72" customFormat="false" ht="15" hidden="false" customHeight="false" outlineLevel="0" collapsed="false">
      <c r="A72" s="26" t="s">
        <v>175</v>
      </c>
      <c r="B72" s="26" t="s">
        <v>39</v>
      </c>
      <c r="C72" s="27" t="n">
        <v>45537</v>
      </c>
      <c r="D72" s="26" t="s">
        <v>48</v>
      </c>
      <c r="E72" s="26" t="s">
        <v>107</v>
      </c>
      <c r="F72" s="26" t="n">
        <v>2551</v>
      </c>
      <c r="G72" s="26" t="n">
        <v>915</v>
      </c>
      <c r="H72" s="26" t="n">
        <v>205</v>
      </c>
      <c r="I72" s="26" t="n">
        <v>30612</v>
      </c>
      <c r="J72" s="26" t="n">
        <v>30360</v>
      </c>
      <c r="K72" s="26" t="n">
        <v>227</v>
      </c>
      <c r="L72" s="26" t="s">
        <v>62</v>
      </c>
      <c r="M72" s="26" t="s">
        <v>60</v>
      </c>
      <c r="N72" s="26" t="s">
        <v>100</v>
      </c>
      <c r="O72" s="26" t="n">
        <f aca="false">F72+G72+H72</f>
        <v>3671</v>
      </c>
      <c r="P72" s="28" t="n">
        <f aca="false">IFERROR(O72/I72,0)</f>
        <v>0.119920292695675</v>
      </c>
    </row>
    <row r="73" customFormat="false" ht="15" hidden="false" customHeight="false" outlineLevel="0" collapsed="false">
      <c r="A73" s="26" t="s">
        <v>176</v>
      </c>
      <c r="B73" s="26" t="s">
        <v>39</v>
      </c>
      <c r="C73" s="27" t="n">
        <v>45719</v>
      </c>
      <c r="D73" s="26" t="s">
        <v>50</v>
      </c>
      <c r="E73" s="26" t="s">
        <v>96</v>
      </c>
      <c r="F73" s="26" t="n">
        <v>296</v>
      </c>
      <c r="G73" s="26" t="n">
        <v>60</v>
      </c>
      <c r="H73" s="26" t="n">
        <v>141</v>
      </c>
      <c r="I73" s="26" t="n">
        <v>5624</v>
      </c>
      <c r="J73" s="26" t="n">
        <v>5239</v>
      </c>
      <c r="K73" s="26" t="n">
        <v>88</v>
      </c>
      <c r="L73" s="26" t="s">
        <v>63</v>
      </c>
      <c r="M73" s="26"/>
      <c r="N73" s="26" t="s">
        <v>113</v>
      </c>
      <c r="O73" s="26" t="n">
        <f aca="false">F73+G73+H73</f>
        <v>497</v>
      </c>
      <c r="P73" s="28" t="n">
        <f aca="false">IFERROR(O73/I73,0)</f>
        <v>0.088371266002845</v>
      </c>
    </row>
    <row r="74" customFormat="false" ht="15" hidden="false" customHeight="false" outlineLevel="0" collapsed="false">
      <c r="A74" s="26" t="s">
        <v>177</v>
      </c>
      <c r="B74" s="26" t="s">
        <v>36</v>
      </c>
      <c r="C74" s="27" t="n">
        <v>45583</v>
      </c>
      <c r="D74" s="26" t="s">
        <v>51</v>
      </c>
      <c r="E74" s="26" t="s">
        <v>103</v>
      </c>
      <c r="F74" s="26" t="n">
        <v>4126</v>
      </c>
      <c r="G74" s="26" t="n">
        <v>426</v>
      </c>
      <c r="H74" s="26" t="n">
        <v>486</v>
      </c>
      <c r="I74" s="26" t="n">
        <v>78394</v>
      </c>
      <c r="J74" s="26" t="n">
        <v>77798</v>
      </c>
      <c r="K74" s="26" t="n">
        <v>88</v>
      </c>
      <c r="L74" s="26" t="s">
        <v>61</v>
      </c>
      <c r="M74" s="26"/>
      <c r="N74" s="26" t="s">
        <v>97</v>
      </c>
      <c r="O74" s="26" t="n">
        <f aca="false">F74+G74+H74</f>
        <v>5038</v>
      </c>
      <c r="P74" s="28" t="n">
        <f aca="false">IFERROR(O74/I74,0)</f>
        <v>0.0642651223307906</v>
      </c>
    </row>
    <row r="75" customFormat="false" ht="15" hidden="false" customHeight="false" outlineLevel="0" collapsed="false">
      <c r="A75" s="26" t="s">
        <v>178</v>
      </c>
      <c r="B75" s="26" t="s">
        <v>39</v>
      </c>
      <c r="C75" s="27" t="n">
        <v>45593</v>
      </c>
      <c r="D75" s="26" t="s">
        <v>50</v>
      </c>
      <c r="E75" s="26" t="s">
        <v>96</v>
      </c>
      <c r="F75" s="26" t="n">
        <v>1855</v>
      </c>
      <c r="G75" s="26" t="n">
        <v>200</v>
      </c>
      <c r="H75" s="26" t="n">
        <v>174</v>
      </c>
      <c r="I75" s="26" t="n">
        <v>16695</v>
      </c>
      <c r="J75" s="26" t="n">
        <v>16330</v>
      </c>
      <c r="K75" s="26" t="n">
        <v>123</v>
      </c>
      <c r="L75" s="26" t="s">
        <v>61</v>
      </c>
      <c r="M75" s="26"/>
      <c r="N75" s="26" t="s">
        <v>105</v>
      </c>
      <c r="O75" s="26" t="n">
        <f aca="false">F75+G75+H75</f>
        <v>2229</v>
      </c>
      <c r="P75" s="28" t="n">
        <f aca="false">IFERROR(O75/I75,0)</f>
        <v>0.13351302785265</v>
      </c>
    </row>
    <row r="76" customFormat="false" ht="15" hidden="false" customHeight="false" outlineLevel="0" collapsed="false">
      <c r="A76" s="26" t="s">
        <v>179</v>
      </c>
      <c r="B76" s="26" t="s">
        <v>37</v>
      </c>
      <c r="C76" s="27" t="n">
        <v>45505</v>
      </c>
      <c r="D76" s="26" t="s">
        <v>50</v>
      </c>
      <c r="E76" s="26" t="s">
        <v>96</v>
      </c>
      <c r="F76" s="26" t="n">
        <v>1674</v>
      </c>
      <c r="G76" s="26" t="n">
        <v>929</v>
      </c>
      <c r="H76" s="26" t="n">
        <v>37</v>
      </c>
      <c r="I76" s="26" t="n">
        <v>21762</v>
      </c>
      <c r="J76" s="26" t="n">
        <v>20998</v>
      </c>
      <c r="K76" s="26" t="n">
        <v>255</v>
      </c>
      <c r="L76" s="26" t="s">
        <v>64</v>
      </c>
      <c r="M76" s="26" t="s">
        <v>60</v>
      </c>
      <c r="N76" s="26" t="s">
        <v>105</v>
      </c>
      <c r="O76" s="26" t="n">
        <f aca="false">F76+G76+H76</f>
        <v>2640</v>
      </c>
      <c r="P76" s="28" t="n">
        <f aca="false">IFERROR(O76/I76,0)</f>
        <v>0.121312379376896</v>
      </c>
    </row>
    <row r="77" customFormat="false" ht="15" hidden="false" customHeight="false" outlineLevel="0" collapsed="false">
      <c r="A77" s="26" t="s">
        <v>180</v>
      </c>
      <c r="B77" s="26" t="s">
        <v>38</v>
      </c>
      <c r="C77" s="27" t="n">
        <v>45603</v>
      </c>
      <c r="D77" s="26" t="s">
        <v>51</v>
      </c>
      <c r="E77" s="26" t="s">
        <v>103</v>
      </c>
      <c r="F77" s="26" t="n">
        <v>1121</v>
      </c>
      <c r="G77" s="26" t="n">
        <v>135</v>
      </c>
      <c r="H77" s="26" t="n">
        <v>18</v>
      </c>
      <c r="I77" s="26" t="n">
        <v>15694</v>
      </c>
      <c r="J77" s="26" t="n">
        <v>14957</v>
      </c>
      <c r="K77" s="26" t="n">
        <v>99</v>
      </c>
      <c r="L77" s="26" t="s">
        <v>62</v>
      </c>
      <c r="M77" s="26" t="s">
        <v>61</v>
      </c>
      <c r="N77" s="26" t="s">
        <v>113</v>
      </c>
      <c r="O77" s="26" t="n">
        <f aca="false">F77+G77+H77</f>
        <v>1274</v>
      </c>
      <c r="P77" s="28" t="n">
        <f aca="false">IFERROR(O77/I77,0)</f>
        <v>0.0811775200713649</v>
      </c>
    </row>
    <row r="78" customFormat="false" ht="15" hidden="false" customHeight="false" outlineLevel="0" collapsed="false">
      <c r="A78" s="26" t="s">
        <v>181</v>
      </c>
      <c r="B78" s="26" t="s">
        <v>36</v>
      </c>
      <c r="C78" s="27" t="n">
        <v>45720</v>
      </c>
      <c r="D78" s="26" t="s">
        <v>51</v>
      </c>
      <c r="E78" s="26" t="s">
        <v>103</v>
      </c>
      <c r="F78" s="26" t="n">
        <v>1249</v>
      </c>
      <c r="G78" s="26" t="n">
        <v>116</v>
      </c>
      <c r="H78" s="26" t="n">
        <v>420</v>
      </c>
      <c r="I78" s="26" t="n">
        <v>8743</v>
      </c>
      <c r="J78" s="26" t="n">
        <v>8538</v>
      </c>
      <c r="K78" s="26" t="n">
        <v>63</v>
      </c>
      <c r="L78" s="26" t="s">
        <v>61</v>
      </c>
      <c r="M78" s="26" t="s">
        <v>60</v>
      </c>
      <c r="N78" s="26" t="s">
        <v>105</v>
      </c>
      <c r="O78" s="26" t="n">
        <f aca="false">F78+G78+H78</f>
        <v>1785</v>
      </c>
      <c r="P78" s="28" t="n">
        <f aca="false">IFERROR(O78/I78,0)</f>
        <v>0.204163330664532</v>
      </c>
    </row>
    <row r="79" customFormat="false" ht="15" hidden="false" customHeight="false" outlineLevel="0" collapsed="false">
      <c r="A79" s="26" t="s">
        <v>182</v>
      </c>
      <c r="B79" s="26" t="s">
        <v>38</v>
      </c>
      <c r="C79" s="27" t="n">
        <v>45460</v>
      </c>
      <c r="D79" s="26" t="s">
        <v>49</v>
      </c>
      <c r="E79" s="26" t="s">
        <v>110</v>
      </c>
      <c r="F79" s="26" t="n">
        <v>954</v>
      </c>
      <c r="G79" s="26" t="n">
        <v>324</v>
      </c>
      <c r="H79" s="26" t="n">
        <v>288</v>
      </c>
      <c r="I79" s="26" t="n">
        <v>19080</v>
      </c>
      <c r="J79" s="26" t="n">
        <v>18859</v>
      </c>
      <c r="K79" s="26" t="n">
        <v>21</v>
      </c>
      <c r="L79" s="26" t="s">
        <v>63</v>
      </c>
      <c r="M79" s="26"/>
      <c r="N79" s="26" t="s">
        <v>105</v>
      </c>
      <c r="O79" s="26" t="n">
        <f aca="false">F79+G79+H79</f>
        <v>1566</v>
      </c>
      <c r="P79" s="28" t="n">
        <f aca="false">IFERROR(O79/I79,0)</f>
        <v>0.0820754716981132</v>
      </c>
    </row>
    <row r="80" customFormat="false" ht="15" hidden="false" customHeight="false" outlineLevel="0" collapsed="false">
      <c r="A80" s="26" t="s">
        <v>183</v>
      </c>
      <c r="B80" s="26" t="s">
        <v>37</v>
      </c>
      <c r="C80" s="27" t="n">
        <v>45574</v>
      </c>
      <c r="D80" s="26" t="s">
        <v>48</v>
      </c>
      <c r="E80" s="26" t="s">
        <v>107</v>
      </c>
      <c r="F80" s="26" t="n">
        <v>3068</v>
      </c>
      <c r="G80" s="26" t="n">
        <v>137</v>
      </c>
      <c r="H80" s="26" t="n">
        <v>329</v>
      </c>
      <c r="I80" s="26" t="n">
        <v>39884</v>
      </c>
      <c r="J80" s="26" t="n">
        <v>39404</v>
      </c>
      <c r="K80" s="26" t="n">
        <v>266</v>
      </c>
      <c r="L80" s="26" t="s">
        <v>62</v>
      </c>
      <c r="M80" s="26" t="s">
        <v>63</v>
      </c>
      <c r="N80" s="26" t="s">
        <v>105</v>
      </c>
      <c r="O80" s="26" t="n">
        <f aca="false">F80+G80+H80</f>
        <v>3534</v>
      </c>
      <c r="P80" s="28" t="n">
        <f aca="false">IFERROR(O80/I80,0)</f>
        <v>0.0886069601845352</v>
      </c>
    </row>
    <row r="81" customFormat="false" ht="15" hidden="false" customHeight="false" outlineLevel="0" collapsed="false">
      <c r="A81" s="26" t="s">
        <v>184</v>
      </c>
      <c r="B81" s="26" t="s">
        <v>37</v>
      </c>
      <c r="C81" s="27" t="n">
        <v>45456</v>
      </c>
      <c r="D81" s="26" t="s">
        <v>51</v>
      </c>
      <c r="E81" s="26" t="s">
        <v>103</v>
      </c>
      <c r="F81" s="26" t="n">
        <v>2103</v>
      </c>
      <c r="G81" s="26" t="n">
        <v>892</v>
      </c>
      <c r="H81" s="26" t="n">
        <v>103</v>
      </c>
      <c r="I81" s="26" t="n">
        <v>39957</v>
      </c>
      <c r="J81" s="26" t="n">
        <v>39466</v>
      </c>
      <c r="K81" s="26" t="n">
        <v>28</v>
      </c>
      <c r="L81" s="26" t="s">
        <v>60</v>
      </c>
      <c r="M81" s="26" t="s">
        <v>61</v>
      </c>
      <c r="N81" s="26" t="s">
        <v>100</v>
      </c>
      <c r="O81" s="26" t="n">
        <f aca="false">F81+G81+H81</f>
        <v>3098</v>
      </c>
      <c r="P81" s="28" t="n">
        <f aca="false">IFERROR(O81/I81,0)</f>
        <v>0.0775333483494757</v>
      </c>
    </row>
    <row r="82" customFormat="false" ht="15" hidden="false" customHeight="false" outlineLevel="0" collapsed="false">
      <c r="A82" s="26" t="s">
        <v>185</v>
      </c>
      <c r="B82" s="26" t="s">
        <v>37</v>
      </c>
      <c r="C82" s="27" t="n">
        <v>45584</v>
      </c>
      <c r="D82" s="26" t="s">
        <v>51</v>
      </c>
      <c r="E82" s="26" t="s">
        <v>103</v>
      </c>
      <c r="F82" s="26" t="n">
        <v>1816</v>
      </c>
      <c r="G82" s="26" t="n">
        <v>29</v>
      </c>
      <c r="H82" s="26" t="n">
        <v>41</v>
      </c>
      <c r="I82" s="26" t="n">
        <v>19976</v>
      </c>
      <c r="J82" s="26" t="n">
        <v>19262</v>
      </c>
      <c r="K82" s="26" t="n">
        <v>283</v>
      </c>
      <c r="L82" s="26" t="s">
        <v>63</v>
      </c>
      <c r="M82" s="26" t="s">
        <v>62</v>
      </c>
      <c r="N82" s="26" t="s">
        <v>105</v>
      </c>
      <c r="O82" s="26" t="n">
        <f aca="false">F82+G82+H82</f>
        <v>1886</v>
      </c>
      <c r="P82" s="28" t="n">
        <f aca="false">IFERROR(O82/I82,0)</f>
        <v>0.0944132959551462</v>
      </c>
    </row>
    <row r="83" customFormat="false" ht="15" hidden="false" customHeight="false" outlineLevel="0" collapsed="false">
      <c r="A83" s="26" t="s">
        <v>186</v>
      </c>
      <c r="B83" s="26" t="s">
        <v>37</v>
      </c>
      <c r="C83" s="27" t="n">
        <v>45497</v>
      </c>
      <c r="D83" s="26" t="s">
        <v>49</v>
      </c>
      <c r="E83" s="26" t="s">
        <v>110</v>
      </c>
      <c r="F83" s="26" t="n">
        <v>725</v>
      </c>
      <c r="G83" s="26" t="n">
        <v>88</v>
      </c>
      <c r="H83" s="26" t="n">
        <v>428</v>
      </c>
      <c r="I83" s="26" t="n">
        <v>14500</v>
      </c>
      <c r="J83" s="26" t="n">
        <v>13637</v>
      </c>
      <c r="K83" s="26" t="n">
        <v>200</v>
      </c>
      <c r="L83" s="26" t="s">
        <v>63</v>
      </c>
      <c r="M83" s="26"/>
      <c r="N83" s="26" t="s">
        <v>105</v>
      </c>
      <c r="O83" s="26" t="n">
        <f aca="false">F83+G83+H83</f>
        <v>1241</v>
      </c>
      <c r="P83" s="28" t="n">
        <f aca="false">IFERROR(O83/I83,0)</f>
        <v>0.0855862068965517</v>
      </c>
    </row>
    <row r="84" customFormat="false" ht="15" hidden="false" customHeight="false" outlineLevel="0" collapsed="false">
      <c r="A84" s="26" t="s">
        <v>187</v>
      </c>
      <c r="B84" s="26" t="s">
        <v>39</v>
      </c>
      <c r="C84" s="27" t="n">
        <v>45580</v>
      </c>
      <c r="D84" s="26" t="s">
        <v>53</v>
      </c>
      <c r="E84" s="26" t="s">
        <v>119</v>
      </c>
      <c r="F84" s="26" t="n">
        <v>1094</v>
      </c>
      <c r="G84" s="26" t="n">
        <v>472</v>
      </c>
      <c r="H84" s="26" t="n">
        <v>21</v>
      </c>
      <c r="I84" s="26" t="n">
        <v>9846</v>
      </c>
      <c r="J84" s="26" t="n">
        <v>9609</v>
      </c>
      <c r="K84" s="26" t="n">
        <v>112</v>
      </c>
      <c r="L84" s="26" t="s">
        <v>63</v>
      </c>
      <c r="M84" s="26" t="s">
        <v>64</v>
      </c>
      <c r="N84" s="26" t="s">
        <v>105</v>
      </c>
      <c r="O84" s="26" t="n">
        <f aca="false">F84+G84+H84</f>
        <v>1587</v>
      </c>
      <c r="P84" s="28" t="n">
        <f aca="false">IFERROR(O84/I84,0)</f>
        <v>0.161182205971968</v>
      </c>
    </row>
    <row r="85" customFormat="false" ht="15" hidden="false" customHeight="false" outlineLevel="0" collapsed="false">
      <c r="A85" s="26" t="s">
        <v>188</v>
      </c>
      <c r="B85" s="26" t="s">
        <v>36</v>
      </c>
      <c r="C85" s="27" t="n">
        <v>45635</v>
      </c>
      <c r="D85" s="26" t="s">
        <v>49</v>
      </c>
      <c r="E85" s="26" t="s">
        <v>110</v>
      </c>
      <c r="F85" s="26" t="n">
        <v>1841</v>
      </c>
      <c r="G85" s="26" t="n">
        <v>851</v>
      </c>
      <c r="H85" s="26" t="n">
        <v>342</v>
      </c>
      <c r="I85" s="26" t="n">
        <v>34979</v>
      </c>
      <c r="J85" s="26" t="n">
        <v>34154</v>
      </c>
      <c r="K85" s="26" t="n">
        <v>255</v>
      </c>
      <c r="L85" s="26" t="s">
        <v>61</v>
      </c>
      <c r="M85" s="26" t="s">
        <v>60</v>
      </c>
      <c r="N85" s="26" t="s">
        <v>97</v>
      </c>
      <c r="O85" s="26" t="n">
        <f aca="false">F85+G85+H85</f>
        <v>3034</v>
      </c>
      <c r="P85" s="28" t="n">
        <f aca="false">IFERROR(O85/I85,0)</f>
        <v>0.0867377569398782</v>
      </c>
    </row>
    <row r="86" customFormat="false" ht="15" hidden="false" customHeight="false" outlineLevel="0" collapsed="false">
      <c r="A86" s="26" t="s">
        <v>189</v>
      </c>
      <c r="B86" s="26" t="s">
        <v>37</v>
      </c>
      <c r="C86" s="27" t="n">
        <v>45766</v>
      </c>
      <c r="D86" s="26" t="s">
        <v>49</v>
      </c>
      <c r="E86" s="26" t="s">
        <v>110</v>
      </c>
      <c r="F86" s="26" t="n">
        <v>4177</v>
      </c>
      <c r="G86" s="26" t="n">
        <v>569</v>
      </c>
      <c r="H86" s="26" t="n">
        <v>55</v>
      </c>
      <c r="I86" s="26" t="n">
        <v>25062</v>
      </c>
      <c r="J86" s="26" t="n">
        <v>24847</v>
      </c>
      <c r="K86" s="26" t="n">
        <v>230</v>
      </c>
      <c r="L86" s="26" t="s">
        <v>61</v>
      </c>
      <c r="M86" s="26"/>
      <c r="N86" s="26" t="s">
        <v>97</v>
      </c>
      <c r="O86" s="26" t="n">
        <f aca="false">F86+G86+H86</f>
        <v>4801</v>
      </c>
      <c r="P86" s="28" t="n">
        <f aca="false">IFERROR(O86/I86,0)</f>
        <v>0.191564919000878</v>
      </c>
    </row>
    <row r="87" customFormat="false" ht="15" hidden="false" customHeight="false" outlineLevel="0" collapsed="false">
      <c r="A87" s="26" t="s">
        <v>190</v>
      </c>
      <c r="B87" s="26" t="s">
        <v>39</v>
      </c>
      <c r="C87" s="27" t="n">
        <v>45684</v>
      </c>
      <c r="D87" s="26" t="s">
        <v>52</v>
      </c>
      <c r="E87" s="26" t="s">
        <v>99</v>
      </c>
      <c r="F87" s="26" t="n">
        <v>3428</v>
      </c>
      <c r="G87" s="26" t="n">
        <v>305</v>
      </c>
      <c r="H87" s="26" t="n">
        <v>85</v>
      </c>
      <c r="I87" s="26" t="n">
        <v>58276</v>
      </c>
      <c r="J87" s="26" t="n">
        <v>58052</v>
      </c>
      <c r="K87" s="26" t="n">
        <v>242</v>
      </c>
      <c r="L87" s="26" t="s">
        <v>63</v>
      </c>
      <c r="M87" s="26" t="s">
        <v>64</v>
      </c>
      <c r="N87" s="26" t="s">
        <v>105</v>
      </c>
      <c r="O87" s="26" t="n">
        <f aca="false">F87+G87+H87</f>
        <v>3818</v>
      </c>
      <c r="P87" s="28" t="n">
        <f aca="false">IFERROR(O87/I87,0)</f>
        <v>0.0655158212643284</v>
      </c>
    </row>
    <row r="88" customFormat="false" ht="15" hidden="false" customHeight="false" outlineLevel="0" collapsed="false">
      <c r="A88" s="26" t="s">
        <v>191</v>
      </c>
      <c r="B88" s="26" t="s">
        <v>38</v>
      </c>
      <c r="C88" s="27" t="n">
        <v>45449</v>
      </c>
      <c r="D88" s="26" t="s">
        <v>53</v>
      </c>
      <c r="E88" s="26" t="s">
        <v>119</v>
      </c>
      <c r="F88" s="26" t="n">
        <v>1436</v>
      </c>
      <c r="G88" s="26" t="n">
        <v>765</v>
      </c>
      <c r="H88" s="26" t="n">
        <v>496</v>
      </c>
      <c r="I88" s="26" t="n">
        <v>12924</v>
      </c>
      <c r="J88" s="26" t="n">
        <v>12701</v>
      </c>
      <c r="K88" s="26" t="n">
        <v>197</v>
      </c>
      <c r="L88" s="26" t="s">
        <v>63</v>
      </c>
      <c r="M88" s="26" t="s">
        <v>62</v>
      </c>
      <c r="N88" s="26" t="s">
        <v>100</v>
      </c>
      <c r="O88" s="26" t="n">
        <f aca="false">F88+G88+H88</f>
        <v>2697</v>
      </c>
      <c r="P88" s="28" t="n">
        <f aca="false">IFERROR(O88/I88,0)</f>
        <v>0.208681522748375</v>
      </c>
    </row>
    <row r="89" customFormat="false" ht="15" hidden="false" customHeight="false" outlineLevel="0" collapsed="false">
      <c r="A89" s="26" t="s">
        <v>192</v>
      </c>
      <c r="B89" s="26" t="s">
        <v>36</v>
      </c>
      <c r="C89" s="27" t="n">
        <v>45480</v>
      </c>
      <c r="D89" s="26" t="s">
        <v>51</v>
      </c>
      <c r="E89" s="26" t="s">
        <v>103</v>
      </c>
      <c r="F89" s="26" t="n">
        <v>302</v>
      </c>
      <c r="G89" s="26" t="n">
        <v>47</v>
      </c>
      <c r="H89" s="26" t="n">
        <v>430</v>
      </c>
      <c r="I89" s="26" t="n">
        <v>5738</v>
      </c>
      <c r="J89" s="26" t="n">
        <v>4890</v>
      </c>
      <c r="K89" s="26" t="n">
        <v>25</v>
      </c>
      <c r="L89" s="26" t="s">
        <v>61</v>
      </c>
      <c r="M89" s="26" t="s">
        <v>62</v>
      </c>
      <c r="N89" s="26" t="s">
        <v>100</v>
      </c>
      <c r="O89" s="26" t="n">
        <f aca="false">F89+G89+H89</f>
        <v>779</v>
      </c>
      <c r="P89" s="28" t="n">
        <f aca="false">IFERROR(O89/I89,0)</f>
        <v>0.135761589403974</v>
      </c>
    </row>
    <row r="90" customFormat="false" ht="15" hidden="false" customHeight="false" outlineLevel="0" collapsed="false">
      <c r="A90" s="26" t="s">
        <v>193</v>
      </c>
      <c r="B90" s="26" t="s">
        <v>38</v>
      </c>
      <c r="C90" s="27" t="n">
        <v>45667</v>
      </c>
      <c r="D90" s="26" t="s">
        <v>49</v>
      </c>
      <c r="E90" s="26" t="s">
        <v>110</v>
      </c>
      <c r="F90" s="26" t="n">
        <v>2214</v>
      </c>
      <c r="G90" s="26" t="n">
        <v>249</v>
      </c>
      <c r="H90" s="26" t="n">
        <v>152</v>
      </c>
      <c r="I90" s="26" t="n">
        <v>15498</v>
      </c>
      <c r="J90" s="26" t="n">
        <v>14800</v>
      </c>
      <c r="K90" s="26" t="n">
        <v>180</v>
      </c>
      <c r="L90" s="26" t="s">
        <v>62</v>
      </c>
      <c r="M90" s="26"/>
      <c r="N90" s="26" t="s">
        <v>100</v>
      </c>
      <c r="O90" s="26" t="n">
        <f aca="false">F90+G90+H90</f>
        <v>2615</v>
      </c>
      <c r="P90" s="28" t="n">
        <f aca="false">IFERROR(O90/I90,0)</f>
        <v>0.168731449219254</v>
      </c>
    </row>
    <row r="91" customFormat="false" ht="15" hidden="false" customHeight="false" outlineLevel="0" collapsed="false">
      <c r="A91" s="26" t="s">
        <v>194</v>
      </c>
      <c r="B91" s="26" t="s">
        <v>37</v>
      </c>
      <c r="C91" s="27" t="n">
        <v>45446</v>
      </c>
      <c r="D91" s="26" t="s">
        <v>49</v>
      </c>
      <c r="E91" s="26" t="s">
        <v>110</v>
      </c>
      <c r="F91" s="26" t="n">
        <v>3861</v>
      </c>
      <c r="G91" s="26" t="n">
        <v>960</v>
      </c>
      <c r="H91" s="26" t="n">
        <v>101</v>
      </c>
      <c r="I91" s="26" t="n">
        <v>69498</v>
      </c>
      <c r="J91" s="26" t="n">
        <v>68817</v>
      </c>
      <c r="K91" s="26" t="n">
        <v>297</v>
      </c>
      <c r="L91" s="26" t="s">
        <v>61</v>
      </c>
      <c r="M91" s="26"/>
      <c r="N91" s="26" t="s">
        <v>100</v>
      </c>
      <c r="O91" s="26" t="n">
        <f aca="false">F91+G91+H91</f>
        <v>4922</v>
      </c>
      <c r="P91" s="28" t="n">
        <f aca="false">IFERROR(O91/I91,0)</f>
        <v>0.070822181933293</v>
      </c>
    </row>
    <row r="92" customFormat="false" ht="15" hidden="false" customHeight="false" outlineLevel="0" collapsed="false">
      <c r="A92" s="26" t="s">
        <v>195</v>
      </c>
      <c r="B92" s="26" t="s">
        <v>36</v>
      </c>
      <c r="C92" s="27" t="n">
        <v>45740</v>
      </c>
      <c r="D92" s="26" t="s">
        <v>49</v>
      </c>
      <c r="E92" s="26" t="s">
        <v>110</v>
      </c>
      <c r="F92" s="26" t="n">
        <v>1263</v>
      </c>
      <c r="G92" s="26" t="n">
        <v>397</v>
      </c>
      <c r="H92" s="26" t="n">
        <v>357</v>
      </c>
      <c r="I92" s="26" t="n">
        <v>25260</v>
      </c>
      <c r="J92" s="26" t="n">
        <v>24615</v>
      </c>
      <c r="K92" s="26" t="n">
        <v>137</v>
      </c>
      <c r="L92" s="26" t="s">
        <v>62</v>
      </c>
      <c r="M92" s="26"/>
      <c r="N92" s="26" t="s">
        <v>100</v>
      </c>
      <c r="O92" s="26" t="n">
        <f aca="false">F92+G92+H92</f>
        <v>2017</v>
      </c>
      <c r="P92" s="28" t="n">
        <f aca="false">IFERROR(O92/I92,0)</f>
        <v>0.0798495645288995</v>
      </c>
    </row>
    <row r="93" customFormat="false" ht="15" hidden="false" customHeight="false" outlineLevel="0" collapsed="false">
      <c r="A93" s="26" t="s">
        <v>196</v>
      </c>
      <c r="B93" s="26" t="s">
        <v>38</v>
      </c>
      <c r="C93" s="27" t="n">
        <v>45586</v>
      </c>
      <c r="D93" s="26" t="s">
        <v>51</v>
      </c>
      <c r="E93" s="26" t="s">
        <v>103</v>
      </c>
      <c r="F93" s="26" t="n">
        <v>3801</v>
      </c>
      <c r="G93" s="26" t="n">
        <v>967</v>
      </c>
      <c r="H93" s="26" t="n">
        <v>401</v>
      </c>
      <c r="I93" s="26" t="n">
        <v>38010</v>
      </c>
      <c r="J93" s="26" t="n">
        <v>37625</v>
      </c>
      <c r="K93" s="26" t="n">
        <v>236</v>
      </c>
      <c r="L93" s="26" t="s">
        <v>64</v>
      </c>
      <c r="M93" s="26"/>
      <c r="N93" s="26" t="s">
        <v>113</v>
      </c>
      <c r="O93" s="26" t="n">
        <f aca="false">F93+G93+H93</f>
        <v>5169</v>
      </c>
      <c r="P93" s="28" t="n">
        <f aca="false">IFERROR(O93/I93,0)</f>
        <v>0.135990528808208</v>
      </c>
    </row>
    <row r="94" customFormat="false" ht="15" hidden="false" customHeight="false" outlineLevel="0" collapsed="false">
      <c r="A94" s="26" t="s">
        <v>197</v>
      </c>
      <c r="B94" s="26" t="s">
        <v>37</v>
      </c>
      <c r="C94" s="27" t="n">
        <v>45637</v>
      </c>
      <c r="D94" s="26" t="s">
        <v>53</v>
      </c>
      <c r="E94" s="26" t="s">
        <v>119</v>
      </c>
      <c r="F94" s="26" t="n">
        <v>1431</v>
      </c>
      <c r="G94" s="26" t="n">
        <v>951</v>
      </c>
      <c r="H94" s="26" t="n">
        <v>26</v>
      </c>
      <c r="I94" s="26" t="n">
        <v>8586</v>
      </c>
      <c r="J94" s="26" t="n">
        <v>8396</v>
      </c>
      <c r="K94" s="26" t="n">
        <v>150</v>
      </c>
      <c r="L94" s="26" t="s">
        <v>63</v>
      </c>
      <c r="M94" s="26" t="s">
        <v>60</v>
      </c>
      <c r="N94" s="26" t="s">
        <v>97</v>
      </c>
      <c r="O94" s="26" t="n">
        <f aca="false">F94+G94+H94</f>
        <v>2408</v>
      </c>
      <c r="P94" s="28" t="n">
        <f aca="false">IFERROR(O94/I94,0)</f>
        <v>0.280456557186117</v>
      </c>
    </row>
    <row r="95" customFormat="false" ht="15" hidden="false" customHeight="false" outlineLevel="0" collapsed="false">
      <c r="A95" s="26" t="s">
        <v>198</v>
      </c>
      <c r="B95" s="26" t="s">
        <v>37</v>
      </c>
      <c r="C95" s="27" t="n">
        <v>45603</v>
      </c>
      <c r="D95" s="26" t="s">
        <v>49</v>
      </c>
      <c r="E95" s="26" t="s">
        <v>110</v>
      </c>
      <c r="F95" s="26" t="n">
        <v>2647</v>
      </c>
      <c r="G95" s="26" t="n">
        <v>304</v>
      </c>
      <c r="H95" s="26" t="n">
        <v>170</v>
      </c>
      <c r="I95" s="26" t="n">
        <v>18529</v>
      </c>
      <c r="J95" s="26" t="n">
        <v>17841</v>
      </c>
      <c r="K95" s="26" t="n">
        <v>46</v>
      </c>
      <c r="L95" s="26" t="s">
        <v>64</v>
      </c>
      <c r="M95" s="26"/>
      <c r="N95" s="26" t="s">
        <v>100</v>
      </c>
      <c r="O95" s="26" t="n">
        <f aca="false">F95+G95+H95</f>
        <v>3121</v>
      </c>
      <c r="P95" s="28" t="n">
        <f aca="false">IFERROR(O95/I95,0)</f>
        <v>0.168438663716337</v>
      </c>
    </row>
    <row r="96" customFormat="false" ht="15" hidden="false" customHeight="false" outlineLevel="0" collapsed="false">
      <c r="A96" s="26" t="s">
        <v>199</v>
      </c>
      <c r="B96" s="26" t="s">
        <v>37</v>
      </c>
      <c r="C96" s="27" t="n">
        <v>45604</v>
      </c>
      <c r="D96" s="26" t="s">
        <v>52</v>
      </c>
      <c r="E96" s="26" t="s">
        <v>99</v>
      </c>
      <c r="F96" s="26" t="n">
        <v>3182</v>
      </c>
      <c r="G96" s="26" t="n">
        <v>559</v>
      </c>
      <c r="H96" s="26" t="n">
        <v>160</v>
      </c>
      <c r="I96" s="26" t="n">
        <v>57276</v>
      </c>
      <c r="J96" s="26" t="n">
        <v>56890</v>
      </c>
      <c r="K96" s="26" t="n">
        <v>163</v>
      </c>
      <c r="L96" s="26" t="s">
        <v>64</v>
      </c>
      <c r="M96" s="26" t="s">
        <v>63</v>
      </c>
      <c r="N96" s="26" t="s">
        <v>100</v>
      </c>
      <c r="O96" s="26" t="n">
        <f aca="false">F96+G96+H96</f>
        <v>3901</v>
      </c>
      <c r="P96" s="28" t="n">
        <f aca="false">IFERROR(O96/I96,0)</f>
        <v>0.0681088064808995</v>
      </c>
    </row>
    <row r="97" customFormat="false" ht="15" hidden="false" customHeight="false" outlineLevel="0" collapsed="false">
      <c r="A97" s="26" t="s">
        <v>200</v>
      </c>
      <c r="B97" s="26" t="s">
        <v>38</v>
      </c>
      <c r="C97" s="27" t="n">
        <v>45545</v>
      </c>
      <c r="D97" s="26" t="s">
        <v>49</v>
      </c>
      <c r="E97" s="26" t="s">
        <v>110</v>
      </c>
      <c r="F97" s="26" t="n">
        <v>1238</v>
      </c>
      <c r="G97" s="26" t="n">
        <v>366</v>
      </c>
      <c r="H97" s="26" t="n">
        <v>444</v>
      </c>
      <c r="I97" s="26" t="n">
        <v>19808</v>
      </c>
      <c r="J97" s="26" t="n">
        <v>19334</v>
      </c>
      <c r="K97" s="26" t="n">
        <v>123</v>
      </c>
      <c r="L97" s="26" t="s">
        <v>60</v>
      </c>
      <c r="M97" s="26"/>
      <c r="N97" s="26" t="s">
        <v>105</v>
      </c>
      <c r="O97" s="26" t="n">
        <f aca="false">F97+G97+H97</f>
        <v>2048</v>
      </c>
      <c r="P97" s="28" t="n">
        <f aca="false">IFERROR(O97/I97,0)</f>
        <v>0.103392568659128</v>
      </c>
    </row>
    <row r="98" customFormat="false" ht="15" hidden="false" customHeight="false" outlineLevel="0" collapsed="false">
      <c r="A98" s="26" t="s">
        <v>201</v>
      </c>
      <c r="B98" s="26" t="s">
        <v>37</v>
      </c>
      <c r="C98" s="27" t="n">
        <v>45517</v>
      </c>
      <c r="D98" s="26" t="s">
        <v>49</v>
      </c>
      <c r="E98" s="26" t="s">
        <v>110</v>
      </c>
      <c r="F98" s="26" t="n">
        <v>4739</v>
      </c>
      <c r="G98" s="26" t="n">
        <v>527</v>
      </c>
      <c r="H98" s="26" t="n">
        <v>135</v>
      </c>
      <c r="I98" s="26" t="n">
        <v>61607</v>
      </c>
      <c r="J98" s="26" t="n">
        <v>61333</v>
      </c>
      <c r="K98" s="26" t="n">
        <v>36</v>
      </c>
      <c r="L98" s="26" t="s">
        <v>64</v>
      </c>
      <c r="M98" s="26" t="s">
        <v>62</v>
      </c>
      <c r="N98" s="26" t="s">
        <v>100</v>
      </c>
      <c r="O98" s="26" t="n">
        <f aca="false">F98+G98+H98</f>
        <v>5401</v>
      </c>
      <c r="P98" s="28" t="n">
        <f aca="false">IFERROR(O98/I98,0)</f>
        <v>0.0876686090866298</v>
      </c>
    </row>
    <row r="99" customFormat="false" ht="15" hidden="false" customHeight="false" outlineLevel="0" collapsed="false">
      <c r="A99" s="26" t="s">
        <v>202</v>
      </c>
      <c r="B99" s="26" t="s">
        <v>38</v>
      </c>
      <c r="C99" s="27" t="n">
        <v>45453</v>
      </c>
      <c r="D99" s="26" t="s">
        <v>51</v>
      </c>
      <c r="E99" s="26" t="s">
        <v>103</v>
      </c>
      <c r="F99" s="26" t="n">
        <v>1575</v>
      </c>
      <c r="G99" s="26" t="n">
        <v>771</v>
      </c>
      <c r="H99" s="26" t="n">
        <v>486</v>
      </c>
      <c r="I99" s="26" t="n">
        <v>25200</v>
      </c>
      <c r="J99" s="26" t="n">
        <v>24826</v>
      </c>
      <c r="K99" s="26" t="n">
        <v>17</v>
      </c>
      <c r="L99" s="26" t="s">
        <v>64</v>
      </c>
      <c r="M99" s="26"/>
      <c r="N99" s="26" t="s">
        <v>105</v>
      </c>
      <c r="O99" s="26" t="n">
        <f aca="false">F99+G99+H99</f>
        <v>2832</v>
      </c>
      <c r="P99" s="28" t="n">
        <f aca="false">IFERROR(O99/I99,0)</f>
        <v>0.112380952380952</v>
      </c>
    </row>
    <row r="100" customFormat="false" ht="15" hidden="false" customHeight="false" outlineLevel="0" collapsed="false">
      <c r="A100" s="26" t="s">
        <v>203</v>
      </c>
      <c r="B100" s="26" t="s">
        <v>39</v>
      </c>
      <c r="C100" s="27" t="n">
        <v>45475</v>
      </c>
      <c r="D100" s="26" t="s">
        <v>48</v>
      </c>
      <c r="E100" s="26" t="s">
        <v>107</v>
      </c>
      <c r="F100" s="26" t="n">
        <v>4171</v>
      </c>
      <c r="G100" s="26" t="n">
        <v>548</v>
      </c>
      <c r="H100" s="26" t="n">
        <v>86</v>
      </c>
      <c r="I100" s="26" t="n">
        <v>66736</v>
      </c>
      <c r="J100" s="26" t="n">
        <v>66634</v>
      </c>
      <c r="K100" s="26" t="n">
        <v>173</v>
      </c>
      <c r="L100" s="26" t="s">
        <v>64</v>
      </c>
      <c r="M100" s="26"/>
      <c r="N100" s="26" t="s">
        <v>105</v>
      </c>
      <c r="O100" s="26" t="n">
        <f aca="false">F100+G100+H100</f>
        <v>4805</v>
      </c>
      <c r="P100" s="28" t="n">
        <f aca="false">IFERROR(O100/I100,0)</f>
        <v>0.0720001198753297</v>
      </c>
    </row>
    <row r="101" customFormat="false" ht="15" hidden="false" customHeight="false" outlineLevel="0" collapsed="false">
      <c r="A101" s="26" t="s">
        <v>204</v>
      </c>
      <c r="B101" s="26" t="s">
        <v>39</v>
      </c>
      <c r="C101" s="27" t="n">
        <v>45698</v>
      </c>
      <c r="D101" s="26" t="s">
        <v>53</v>
      </c>
      <c r="E101" s="26" t="s">
        <v>119</v>
      </c>
      <c r="F101" s="26" t="n">
        <v>1766</v>
      </c>
      <c r="G101" s="26" t="n">
        <v>92</v>
      </c>
      <c r="H101" s="26" t="n">
        <v>424</v>
      </c>
      <c r="I101" s="26" t="n">
        <v>24724</v>
      </c>
      <c r="J101" s="26" t="n">
        <v>24333</v>
      </c>
      <c r="K101" s="26" t="n">
        <v>52</v>
      </c>
      <c r="L101" s="26" t="s">
        <v>64</v>
      </c>
      <c r="M101" s="26"/>
      <c r="N101" s="26" t="s">
        <v>97</v>
      </c>
      <c r="O101" s="26" t="n">
        <f aca="false">F101+G101+H101</f>
        <v>2282</v>
      </c>
      <c r="P101" s="28" t="n">
        <f aca="false">IFERROR(O101/I101,0)</f>
        <v>0.0922989807474519</v>
      </c>
    </row>
    <row r="102" customFormat="false" ht="15" hidden="false" customHeight="false" outlineLevel="0" collapsed="false">
      <c r="A102" s="26" t="s">
        <v>205</v>
      </c>
      <c r="B102" s="26" t="s">
        <v>39</v>
      </c>
      <c r="C102" s="27" t="n">
        <v>45583</v>
      </c>
      <c r="D102" s="26" t="s">
        <v>53</v>
      </c>
      <c r="E102" s="26" t="s">
        <v>119</v>
      </c>
      <c r="F102" s="26" t="n">
        <v>4450</v>
      </c>
      <c r="G102" s="26" t="n">
        <v>983</v>
      </c>
      <c r="H102" s="26" t="n">
        <v>143</v>
      </c>
      <c r="I102" s="26" t="n">
        <v>75650</v>
      </c>
      <c r="J102" s="26" t="n">
        <v>75008</v>
      </c>
      <c r="K102" s="26" t="n">
        <v>12</v>
      </c>
      <c r="L102" s="26" t="s">
        <v>62</v>
      </c>
      <c r="M102" s="26" t="s">
        <v>64</v>
      </c>
      <c r="N102" s="26" t="s">
        <v>100</v>
      </c>
      <c r="O102" s="26" t="n">
        <f aca="false">F102+G102+H102</f>
        <v>5576</v>
      </c>
      <c r="P102" s="28" t="n">
        <f aca="false">IFERROR(O102/I102,0)</f>
        <v>0.0737078651685393</v>
      </c>
    </row>
    <row r="103" customFormat="false" ht="15" hidden="false" customHeight="false" outlineLevel="0" collapsed="false">
      <c r="A103" s="26" t="s">
        <v>206</v>
      </c>
      <c r="B103" s="26" t="s">
        <v>38</v>
      </c>
      <c r="C103" s="27" t="n">
        <v>45553</v>
      </c>
      <c r="D103" s="26" t="s">
        <v>50</v>
      </c>
      <c r="E103" s="26" t="s">
        <v>96</v>
      </c>
      <c r="F103" s="26" t="n">
        <v>1000</v>
      </c>
      <c r="G103" s="26" t="n">
        <v>978</v>
      </c>
      <c r="H103" s="26" t="n">
        <v>162</v>
      </c>
      <c r="I103" s="26" t="n">
        <v>6000</v>
      </c>
      <c r="J103" s="26" t="n">
        <v>5221</v>
      </c>
      <c r="K103" s="26" t="n">
        <v>223</v>
      </c>
      <c r="L103" s="26" t="s">
        <v>63</v>
      </c>
      <c r="M103" s="26" t="s">
        <v>61</v>
      </c>
      <c r="N103" s="26" t="s">
        <v>105</v>
      </c>
      <c r="O103" s="26" t="n">
        <f aca="false">F103+G103+H103</f>
        <v>2140</v>
      </c>
      <c r="P103" s="28" t="n">
        <f aca="false">IFERROR(O103/I103,0)</f>
        <v>0.356666666666667</v>
      </c>
    </row>
    <row r="104" customFormat="false" ht="15" hidden="false" customHeight="false" outlineLevel="0" collapsed="false">
      <c r="A104" s="26" t="s">
        <v>207</v>
      </c>
      <c r="B104" s="26" t="s">
        <v>36</v>
      </c>
      <c r="C104" s="27" t="n">
        <v>45454</v>
      </c>
      <c r="D104" s="26" t="s">
        <v>49</v>
      </c>
      <c r="E104" s="26" t="s">
        <v>110</v>
      </c>
      <c r="F104" s="26" t="n">
        <v>3689</v>
      </c>
      <c r="G104" s="26" t="n">
        <v>48</v>
      </c>
      <c r="H104" s="26" t="n">
        <v>306</v>
      </c>
      <c r="I104" s="26" t="n">
        <v>40579</v>
      </c>
      <c r="J104" s="26" t="n">
        <v>39588</v>
      </c>
      <c r="K104" s="26" t="n">
        <v>212</v>
      </c>
      <c r="L104" s="26" t="s">
        <v>63</v>
      </c>
      <c r="M104" s="26"/>
      <c r="N104" s="26" t="s">
        <v>97</v>
      </c>
      <c r="O104" s="26" t="n">
        <f aca="false">F104+G104+H104</f>
        <v>4043</v>
      </c>
      <c r="P104" s="28" t="n">
        <f aca="false">IFERROR(O104/I104,0)</f>
        <v>0.099632815002834</v>
      </c>
    </row>
    <row r="105" customFormat="false" ht="15" hidden="false" customHeight="false" outlineLevel="0" collapsed="false">
      <c r="A105" s="26" t="s">
        <v>208</v>
      </c>
      <c r="B105" s="26" t="s">
        <v>39</v>
      </c>
      <c r="C105" s="27" t="n">
        <v>45739</v>
      </c>
      <c r="D105" s="26" t="s">
        <v>51</v>
      </c>
      <c r="E105" s="26" t="s">
        <v>103</v>
      </c>
      <c r="F105" s="26" t="n">
        <v>3655</v>
      </c>
      <c r="G105" s="26" t="n">
        <v>568</v>
      </c>
      <c r="H105" s="26" t="n">
        <v>286</v>
      </c>
      <c r="I105" s="26" t="n">
        <v>32895</v>
      </c>
      <c r="J105" s="26" t="n">
        <v>32015</v>
      </c>
      <c r="K105" s="26" t="n">
        <v>199</v>
      </c>
      <c r="L105" s="26" t="s">
        <v>63</v>
      </c>
      <c r="M105" s="26"/>
      <c r="N105" s="26" t="s">
        <v>113</v>
      </c>
      <c r="O105" s="26" t="n">
        <f aca="false">F105+G105+H105</f>
        <v>4509</v>
      </c>
      <c r="P105" s="28" t="n">
        <f aca="false">IFERROR(O105/I105,0)</f>
        <v>0.137072503419973</v>
      </c>
    </row>
    <row r="106" customFormat="false" ht="15" hidden="false" customHeight="false" outlineLevel="0" collapsed="false">
      <c r="A106" s="26" t="s">
        <v>209</v>
      </c>
      <c r="B106" s="26" t="s">
        <v>37</v>
      </c>
      <c r="C106" s="27" t="n">
        <v>45457</v>
      </c>
      <c r="D106" s="26" t="s">
        <v>48</v>
      </c>
      <c r="E106" s="26" t="s">
        <v>107</v>
      </c>
      <c r="F106" s="26" t="n">
        <v>498</v>
      </c>
      <c r="G106" s="26" t="n">
        <v>38</v>
      </c>
      <c r="H106" s="26" t="n">
        <v>42</v>
      </c>
      <c r="I106" s="26" t="n">
        <v>4482</v>
      </c>
      <c r="J106" s="26" t="n">
        <v>3647</v>
      </c>
      <c r="K106" s="26" t="n">
        <v>32</v>
      </c>
      <c r="L106" s="26" t="s">
        <v>64</v>
      </c>
      <c r="M106" s="26" t="s">
        <v>60</v>
      </c>
      <c r="N106" s="26" t="s">
        <v>113</v>
      </c>
      <c r="O106" s="26" t="n">
        <f aca="false">F106+G106+H106</f>
        <v>578</v>
      </c>
      <c r="P106" s="28" t="n">
        <f aca="false">IFERROR(O106/I106,0)</f>
        <v>0.128960285586792</v>
      </c>
    </row>
    <row r="107" customFormat="false" ht="15" hidden="false" customHeight="false" outlineLevel="0" collapsed="false">
      <c r="A107" s="26" t="s">
        <v>210</v>
      </c>
      <c r="B107" s="26" t="s">
        <v>37</v>
      </c>
      <c r="C107" s="27" t="n">
        <v>45692</v>
      </c>
      <c r="D107" s="26" t="s">
        <v>49</v>
      </c>
      <c r="E107" s="26" t="s">
        <v>110</v>
      </c>
      <c r="F107" s="26" t="n">
        <v>4619</v>
      </c>
      <c r="G107" s="26" t="n">
        <v>821</v>
      </c>
      <c r="H107" s="26" t="n">
        <v>499</v>
      </c>
      <c r="I107" s="26" t="n">
        <v>69285</v>
      </c>
      <c r="J107" s="26" t="n">
        <v>69141</v>
      </c>
      <c r="K107" s="26" t="n">
        <v>298</v>
      </c>
      <c r="L107" s="26" t="s">
        <v>61</v>
      </c>
      <c r="M107" s="26"/>
      <c r="N107" s="26" t="s">
        <v>97</v>
      </c>
      <c r="O107" s="26" t="n">
        <f aca="false">F107+G107+H107</f>
        <v>5939</v>
      </c>
      <c r="P107" s="28" t="n">
        <f aca="false">IFERROR(O107/I107,0)</f>
        <v>0.0857184094681388</v>
      </c>
    </row>
    <row r="108" customFormat="false" ht="15" hidden="false" customHeight="false" outlineLevel="0" collapsed="false">
      <c r="A108" s="26" t="s">
        <v>211</v>
      </c>
      <c r="B108" s="26" t="s">
        <v>39</v>
      </c>
      <c r="C108" s="27" t="n">
        <v>45464</v>
      </c>
      <c r="D108" s="26" t="s">
        <v>49</v>
      </c>
      <c r="E108" s="26" t="s">
        <v>110</v>
      </c>
      <c r="F108" s="26" t="n">
        <v>4832</v>
      </c>
      <c r="G108" s="26" t="n">
        <v>893</v>
      </c>
      <c r="H108" s="26" t="n">
        <v>10</v>
      </c>
      <c r="I108" s="26" t="n">
        <v>91808</v>
      </c>
      <c r="J108" s="26" t="n">
        <v>91296</v>
      </c>
      <c r="K108" s="26" t="n">
        <v>182</v>
      </c>
      <c r="L108" s="26" t="s">
        <v>62</v>
      </c>
      <c r="M108" s="26" t="s">
        <v>64</v>
      </c>
      <c r="N108" s="26" t="s">
        <v>105</v>
      </c>
      <c r="O108" s="26" t="n">
        <f aca="false">F108+G108+H108</f>
        <v>5735</v>
      </c>
      <c r="P108" s="28" t="n">
        <f aca="false">IFERROR(O108/I108,0)</f>
        <v>0.0624673231090972</v>
      </c>
    </row>
    <row r="109" customFormat="false" ht="15" hidden="false" customHeight="false" outlineLevel="0" collapsed="false">
      <c r="A109" s="26" t="s">
        <v>212</v>
      </c>
      <c r="B109" s="26" t="s">
        <v>38</v>
      </c>
      <c r="C109" s="27" t="n">
        <v>45741</v>
      </c>
      <c r="D109" s="26" t="s">
        <v>53</v>
      </c>
      <c r="E109" s="26" t="s">
        <v>119</v>
      </c>
      <c r="F109" s="26" t="n">
        <v>4050</v>
      </c>
      <c r="G109" s="26" t="n">
        <v>871</v>
      </c>
      <c r="H109" s="26" t="n">
        <v>347</v>
      </c>
      <c r="I109" s="26" t="n">
        <v>52650</v>
      </c>
      <c r="J109" s="26" t="n">
        <v>51755</v>
      </c>
      <c r="K109" s="26" t="n">
        <v>209</v>
      </c>
      <c r="L109" s="26" t="s">
        <v>64</v>
      </c>
      <c r="M109" s="26" t="s">
        <v>60</v>
      </c>
      <c r="N109" s="26" t="s">
        <v>97</v>
      </c>
      <c r="O109" s="26" t="n">
        <f aca="false">F109+G109+H109</f>
        <v>5268</v>
      </c>
      <c r="P109" s="28" t="n">
        <f aca="false">IFERROR(O109/I109,0)</f>
        <v>0.10005698005698</v>
      </c>
    </row>
    <row r="110" customFormat="false" ht="15" hidden="false" customHeight="false" outlineLevel="0" collapsed="false">
      <c r="A110" s="26" t="s">
        <v>213</v>
      </c>
      <c r="B110" s="26" t="s">
        <v>38</v>
      </c>
      <c r="C110" s="27" t="n">
        <v>45512</v>
      </c>
      <c r="D110" s="26" t="s">
        <v>51</v>
      </c>
      <c r="E110" s="26" t="s">
        <v>103</v>
      </c>
      <c r="F110" s="26" t="n">
        <v>3649</v>
      </c>
      <c r="G110" s="26" t="n">
        <v>215</v>
      </c>
      <c r="H110" s="26" t="n">
        <v>413</v>
      </c>
      <c r="I110" s="26" t="n">
        <v>25543</v>
      </c>
      <c r="J110" s="26" t="n">
        <v>24963</v>
      </c>
      <c r="K110" s="26" t="n">
        <v>167</v>
      </c>
      <c r="L110" s="26" t="s">
        <v>61</v>
      </c>
      <c r="M110" s="26" t="s">
        <v>64</v>
      </c>
      <c r="N110" s="26" t="s">
        <v>97</v>
      </c>
      <c r="O110" s="26" t="n">
        <f aca="false">F110+G110+H110</f>
        <v>4277</v>
      </c>
      <c r="P110" s="28" t="n">
        <f aca="false">IFERROR(O110/I110,0)</f>
        <v>0.167443135105508</v>
      </c>
    </row>
    <row r="111" customFormat="false" ht="15" hidden="false" customHeight="false" outlineLevel="0" collapsed="false">
      <c r="A111" s="26" t="s">
        <v>214</v>
      </c>
      <c r="B111" s="26" t="s">
        <v>37</v>
      </c>
      <c r="C111" s="27" t="n">
        <v>45502</v>
      </c>
      <c r="D111" s="26" t="s">
        <v>50</v>
      </c>
      <c r="E111" s="26" t="s">
        <v>96</v>
      </c>
      <c r="F111" s="26" t="n">
        <v>3523</v>
      </c>
      <c r="G111" s="26" t="n">
        <v>753</v>
      </c>
      <c r="H111" s="26" t="n">
        <v>482</v>
      </c>
      <c r="I111" s="26" t="n">
        <v>38753</v>
      </c>
      <c r="J111" s="26" t="n">
        <v>38579</v>
      </c>
      <c r="K111" s="26" t="n">
        <v>270</v>
      </c>
      <c r="L111" s="26" t="s">
        <v>60</v>
      </c>
      <c r="M111" s="26" t="s">
        <v>64</v>
      </c>
      <c r="N111" s="26" t="s">
        <v>100</v>
      </c>
      <c r="O111" s="26" t="n">
        <f aca="false">F111+G111+H111</f>
        <v>4758</v>
      </c>
      <c r="P111" s="28" t="n">
        <f aca="false">IFERROR(O111/I111,0)</f>
        <v>0.122777591412278</v>
      </c>
    </row>
    <row r="112" customFormat="false" ht="15" hidden="false" customHeight="false" outlineLevel="0" collapsed="false">
      <c r="A112" s="26" t="s">
        <v>215</v>
      </c>
      <c r="B112" s="26" t="s">
        <v>39</v>
      </c>
      <c r="C112" s="27" t="n">
        <v>45619</v>
      </c>
      <c r="D112" s="26" t="s">
        <v>49</v>
      </c>
      <c r="E112" s="26" t="s">
        <v>110</v>
      </c>
      <c r="F112" s="26" t="n">
        <v>2719</v>
      </c>
      <c r="G112" s="26" t="n">
        <v>17</v>
      </c>
      <c r="H112" s="26" t="n">
        <v>285</v>
      </c>
      <c r="I112" s="26" t="n">
        <v>40785</v>
      </c>
      <c r="J112" s="26" t="n">
        <v>40281</v>
      </c>
      <c r="K112" s="26" t="n">
        <v>40</v>
      </c>
      <c r="L112" s="26" t="s">
        <v>61</v>
      </c>
      <c r="M112" s="26" t="s">
        <v>64</v>
      </c>
      <c r="N112" s="26" t="s">
        <v>105</v>
      </c>
      <c r="O112" s="26" t="n">
        <f aca="false">F112+G112+H112</f>
        <v>3021</v>
      </c>
      <c r="P112" s="28" t="n">
        <f aca="false">IFERROR(O112/I112,0)</f>
        <v>0.0740713497609415</v>
      </c>
    </row>
    <row r="113" customFormat="false" ht="15" hidden="false" customHeight="false" outlineLevel="0" collapsed="false">
      <c r="A113" s="26" t="s">
        <v>216</v>
      </c>
      <c r="B113" s="26" t="s">
        <v>38</v>
      </c>
      <c r="C113" s="27" t="n">
        <v>45570</v>
      </c>
      <c r="D113" s="26" t="s">
        <v>51</v>
      </c>
      <c r="E113" s="26" t="s">
        <v>103</v>
      </c>
      <c r="F113" s="26" t="n">
        <v>1957</v>
      </c>
      <c r="G113" s="26" t="n">
        <v>877</v>
      </c>
      <c r="H113" s="26" t="n">
        <v>238</v>
      </c>
      <c r="I113" s="26" t="n">
        <v>17613</v>
      </c>
      <c r="J113" s="26" t="n">
        <v>16865</v>
      </c>
      <c r="K113" s="26" t="n">
        <v>297</v>
      </c>
      <c r="L113" s="26" t="s">
        <v>61</v>
      </c>
      <c r="M113" s="26" t="s">
        <v>62</v>
      </c>
      <c r="N113" s="26" t="s">
        <v>105</v>
      </c>
      <c r="O113" s="26" t="n">
        <f aca="false">F113+G113+H113</f>
        <v>3072</v>
      </c>
      <c r="P113" s="28" t="n">
        <f aca="false">IFERROR(O113/I113,0)</f>
        <v>0.174416624084483</v>
      </c>
    </row>
    <row r="114" customFormat="false" ht="15" hidden="false" customHeight="false" outlineLevel="0" collapsed="false">
      <c r="A114" s="26" t="s">
        <v>217</v>
      </c>
      <c r="B114" s="26" t="s">
        <v>38</v>
      </c>
      <c r="C114" s="27" t="n">
        <v>45567</v>
      </c>
      <c r="D114" s="26" t="s">
        <v>48</v>
      </c>
      <c r="E114" s="26" t="s">
        <v>107</v>
      </c>
      <c r="F114" s="26" t="n">
        <v>4419</v>
      </c>
      <c r="G114" s="26" t="n">
        <v>236</v>
      </c>
      <c r="H114" s="26" t="n">
        <v>369</v>
      </c>
      <c r="I114" s="26" t="n">
        <v>44190</v>
      </c>
      <c r="J114" s="26" t="n">
        <v>43582</v>
      </c>
      <c r="K114" s="26" t="n">
        <v>10</v>
      </c>
      <c r="L114" s="26" t="s">
        <v>63</v>
      </c>
      <c r="M114" s="26"/>
      <c r="N114" s="26" t="s">
        <v>113</v>
      </c>
      <c r="O114" s="26" t="n">
        <f aca="false">F114+G114+H114</f>
        <v>5024</v>
      </c>
      <c r="P114" s="28" t="n">
        <f aca="false">IFERROR(O114/I114,0)</f>
        <v>0.113690880289658</v>
      </c>
    </row>
    <row r="115" customFormat="false" ht="15" hidden="false" customHeight="false" outlineLevel="0" collapsed="false">
      <c r="A115" s="26" t="s">
        <v>218</v>
      </c>
      <c r="B115" s="26" t="s">
        <v>38</v>
      </c>
      <c r="C115" s="27" t="n">
        <v>45610</v>
      </c>
      <c r="D115" s="26" t="s">
        <v>51</v>
      </c>
      <c r="E115" s="26" t="s">
        <v>103</v>
      </c>
      <c r="F115" s="26" t="n">
        <v>4000</v>
      </c>
      <c r="G115" s="26" t="n">
        <v>689</v>
      </c>
      <c r="H115" s="26" t="n">
        <v>488</v>
      </c>
      <c r="I115" s="26" t="n">
        <v>40000</v>
      </c>
      <c r="J115" s="26" t="n">
        <v>39569</v>
      </c>
      <c r="K115" s="26" t="n">
        <v>44</v>
      </c>
      <c r="L115" s="26" t="s">
        <v>60</v>
      </c>
      <c r="M115" s="26" t="s">
        <v>61</v>
      </c>
      <c r="N115" s="26" t="s">
        <v>105</v>
      </c>
      <c r="O115" s="26" t="n">
        <f aca="false">F115+G115+H115</f>
        <v>5177</v>
      </c>
      <c r="P115" s="28" t="n">
        <f aca="false">IFERROR(O115/I115,0)</f>
        <v>0.129425</v>
      </c>
    </row>
    <row r="116" customFormat="false" ht="15" hidden="false" customHeight="false" outlineLevel="0" collapsed="false">
      <c r="A116" s="26" t="s">
        <v>219</v>
      </c>
      <c r="B116" s="26" t="s">
        <v>38</v>
      </c>
      <c r="C116" s="27" t="n">
        <v>45788</v>
      </c>
      <c r="D116" s="26" t="s">
        <v>49</v>
      </c>
      <c r="E116" s="26" t="s">
        <v>110</v>
      </c>
      <c r="F116" s="26" t="n">
        <v>2493</v>
      </c>
      <c r="G116" s="26" t="n">
        <v>97</v>
      </c>
      <c r="H116" s="26" t="n">
        <v>44</v>
      </c>
      <c r="I116" s="26" t="n">
        <v>42381</v>
      </c>
      <c r="J116" s="26" t="n">
        <v>41991</v>
      </c>
      <c r="K116" s="26" t="n">
        <v>242</v>
      </c>
      <c r="L116" s="26" t="s">
        <v>62</v>
      </c>
      <c r="M116" s="26" t="s">
        <v>64</v>
      </c>
      <c r="N116" s="26" t="s">
        <v>97</v>
      </c>
      <c r="O116" s="26" t="n">
        <f aca="false">F116+G116+H116</f>
        <v>2634</v>
      </c>
      <c r="P116" s="28" t="n">
        <f aca="false">IFERROR(O116/I116,0)</f>
        <v>0.0621504919657394</v>
      </c>
    </row>
    <row r="117" customFormat="false" ht="15" hidden="false" customHeight="false" outlineLevel="0" collapsed="false">
      <c r="A117" s="26" t="s">
        <v>220</v>
      </c>
      <c r="B117" s="26" t="s">
        <v>39</v>
      </c>
      <c r="C117" s="27" t="n">
        <v>45734</v>
      </c>
      <c r="D117" s="26" t="s">
        <v>50</v>
      </c>
      <c r="E117" s="26" t="s">
        <v>96</v>
      </c>
      <c r="F117" s="26" t="n">
        <v>3704</v>
      </c>
      <c r="G117" s="26" t="n">
        <v>186</v>
      </c>
      <c r="H117" s="26" t="n">
        <v>458</v>
      </c>
      <c r="I117" s="26" t="n">
        <v>25928</v>
      </c>
      <c r="J117" s="26" t="n">
        <v>25081</v>
      </c>
      <c r="K117" s="26" t="n">
        <v>131</v>
      </c>
      <c r="L117" s="26" t="s">
        <v>64</v>
      </c>
      <c r="M117" s="26"/>
      <c r="N117" s="26" t="s">
        <v>97</v>
      </c>
      <c r="O117" s="26" t="n">
        <f aca="false">F117+G117+H117</f>
        <v>4348</v>
      </c>
      <c r="P117" s="28" t="n">
        <f aca="false">IFERROR(O117/I117,0)</f>
        <v>0.167695155816106</v>
      </c>
    </row>
    <row r="118" customFormat="false" ht="15" hidden="false" customHeight="false" outlineLevel="0" collapsed="false">
      <c r="A118" s="26" t="s">
        <v>221</v>
      </c>
      <c r="B118" s="26" t="s">
        <v>38</v>
      </c>
      <c r="C118" s="27" t="n">
        <v>45600</v>
      </c>
      <c r="D118" s="26" t="s">
        <v>49</v>
      </c>
      <c r="E118" s="26" t="s">
        <v>110</v>
      </c>
      <c r="F118" s="26" t="n">
        <v>1606</v>
      </c>
      <c r="G118" s="26" t="n">
        <v>451</v>
      </c>
      <c r="H118" s="26" t="n">
        <v>405</v>
      </c>
      <c r="I118" s="26" t="n">
        <v>20878</v>
      </c>
      <c r="J118" s="26" t="n">
        <v>20190</v>
      </c>
      <c r="K118" s="26" t="n">
        <v>219</v>
      </c>
      <c r="L118" s="26" t="s">
        <v>62</v>
      </c>
      <c r="M118" s="26" t="s">
        <v>64</v>
      </c>
      <c r="N118" s="26" t="s">
        <v>100</v>
      </c>
      <c r="O118" s="26" t="n">
        <f aca="false">F118+G118+H118</f>
        <v>2462</v>
      </c>
      <c r="P118" s="28" t="n">
        <f aca="false">IFERROR(O118/I118,0)</f>
        <v>0.117923172717693</v>
      </c>
    </row>
    <row r="119" customFormat="false" ht="15" hidden="false" customHeight="false" outlineLevel="0" collapsed="false">
      <c r="A119" s="26" t="s">
        <v>222</v>
      </c>
      <c r="B119" s="26" t="s">
        <v>36</v>
      </c>
      <c r="C119" s="27" t="n">
        <v>45600</v>
      </c>
      <c r="D119" s="26" t="s">
        <v>49</v>
      </c>
      <c r="E119" s="26" t="s">
        <v>110</v>
      </c>
      <c r="F119" s="26" t="n">
        <v>4551</v>
      </c>
      <c r="G119" s="26" t="n">
        <v>714</v>
      </c>
      <c r="H119" s="26" t="n">
        <v>207</v>
      </c>
      <c r="I119" s="26" t="n">
        <v>68265</v>
      </c>
      <c r="J119" s="26" t="n">
        <v>67754</v>
      </c>
      <c r="K119" s="26" t="n">
        <v>57</v>
      </c>
      <c r="L119" s="26" t="s">
        <v>63</v>
      </c>
      <c r="M119" s="26"/>
      <c r="N119" s="26" t="s">
        <v>100</v>
      </c>
      <c r="O119" s="26" t="n">
        <f aca="false">F119+G119+H119</f>
        <v>5472</v>
      </c>
      <c r="P119" s="28" t="n">
        <f aca="false">IFERROR(O119/I119,0)</f>
        <v>0.0801582069874753</v>
      </c>
    </row>
    <row r="120" customFormat="false" ht="15" hidden="false" customHeight="false" outlineLevel="0" collapsed="false">
      <c r="A120" s="26" t="s">
        <v>223</v>
      </c>
      <c r="B120" s="26" t="s">
        <v>37</v>
      </c>
      <c r="C120" s="27" t="n">
        <v>45695</v>
      </c>
      <c r="D120" s="26" t="s">
        <v>50</v>
      </c>
      <c r="E120" s="26" t="s">
        <v>96</v>
      </c>
      <c r="F120" s="26" t="n">
        <v>1970</v>
      </c>
      <c r="G120" s="26" t="n">
        <v>675</v>
      </c>
      <c r="H120" s="26" t="n">
        <v>478</v>
      </c>
      <c r="I120" s="26" t="n">
        <v>9850</v>
      </c>
      <c r="J120" s="26" t="n">
        <v>8924</v>
      </c>
      <c r="K120" s="26" t="n">
        <v>117</v>
      </c>
      <c r="L120" s="26" t="s">
        <v>63</v>
      </c>
      <c r="M120" s="26"/>
      <c r="N120" s="26" t="s">
        <v>113</v>
      </c>
      <c r="O120" s="26" t="n">
        <f aca="false">F120+G120+H120</f>
        <v>3123</v>
      </c>
      <c r="P120" s="28" t="n">
        <f aca="false">IFERROR(O120/I120,0)</f>
        <v>0.317055837563452</v>
      </c>
    </row>
    <row r="121" customFormat="false" ht="15" hidden="false" customHeight="false" outlineLevel="0" collapsed="false">
      <c r="A121" s="26" t="s">
        <v>224</v>
      </c>
      <c r="B121" s="26" t="s">
        <v>36</v>
      </c>
      <c r="C121" s="27" t="n">
        <v>45586</v>
      </c>
      <c r="D121" s="26" t="s">
        <v>51</v>
      </c>
      <c r="E121" s="26" t="s">
        <v>103</v>
      </c>
      <c r="F121" s="26" t="n">
        <v>780</v>
      </c>
      <c r="G121" s="26" t="n">
        <v>928</v>
      </c>
      <c r="H121" s="26" t="n">
        <v>301</v>
      </c>
      <c r="I121" s="26" t="n">
        <v>8580</v>
      </c>
      <c r="J121" s="26" t="n">
        <v>8081</v>
      </c>
      <c r="K121" s="26" t="n">
        <v>91</v>
      </c>
      <c r="L121" s="26" t="s">
        <v>62</v>
      </c>
      <c r="M121" s="26" t="s">
        <v>61</v>
      </c>
      <c r="N121" s="26" t="s">
        <v>113</v>
      </c>
      <c r="O121" s="26" t="n">
        <f aca="false">F121+G121+H121</f>
        <v>2009</v>
      </c>
      <c r="P121" s="28" t="n">
        <f aca="false">IFERROR(O121/I121,0)</f>
        <v>0.234149184149184</v>
      </c>
    </row>
    <row r="122" customFormat="false" ht="15" hidden="false" customHeight="false" outlineLevel="0" collapsed="false">
      <c r="A122" s="26" t="s">
        <v>225</v>
      </c>
      <c r="B122" s="26" t="s">
        <v>37</v>
      </c>
      <c r="C122" s="27" t="n">
        <v>45502</v>
      </c>
      <c r="D122" s="26" t="s">
        <v>51</v>
      </c>
      <c r="E122" s="26" t="s">
        <v>103</v>
      </c>
      <c r="F122" s="26" t="n">
        <v>498</v>
      </c>
      <c r="G122" s="26" t="n">
        <v>701</v>
      </c>
      <c r="H122" s="26" t="n">
        <v>412</v>
      </c>
      <c r="I122" s="26" t="n">
        <v>4980</v>
      </c>
      <c r="J122" s="26" t="n">
        <v>4185</v>
      </c>
      <c r="K122" s="26" t="n">
        <v>185</v>
      </c>
      <c r="L122" s="26" t="s">
        <v>60</v>
      </c>
      <c r="M122" s="26" t="s">
        <v>64</v>
      </c>
      <c r="N122" s="26" t="s">
        <v>113</v>
      </c>
      <c r="O122" s="26" t="n">
        <f aca="false">F122+G122+H122</f>
        <v>1611</v>
      </c>
      <c r="P122" s="28" t="n">
        <f aca="false">IFERROR(O122/I122,0)</f>
        <v>0.323493975903614</v>
      </c>
    </row>
    <row r="123" customFormat="false" ht="15" hidden="false" customHeight="false" outlineLevel="0" collapsed="false">
      <c r="A123" s="26" t="s">
        <v>226</v>
      </c>
      <c r="B123" s="26" t="s">
        <v>37</v>
      </c>
      <c r="C123" s="27" t="n">
        <v>45567</v>
      </c>
      <c r="D123" s="26" t="s">
        <v>52</v>
      </c>
      <c r="E123" s="26" t="s">
        <v>99</v>
      </c>
      <c r="F123" s="26" t="n">
        <v>3432</v>
      </c>
      <c r="G123" s="26" t="n">
        <v>869</v>
      </c>
      <c r="H123" s="26" t="n">
        <v>123</v>
      </c>
      <c r="I123" s="26" t="n">
        <v>54912</v>
      </c>
      <c r="J123" s="26" t="n">
        <v>53916</v>
      </c>
      <c r="K123" s="26" t="n">
        <v>264</v>
      </c>
      <c r="L123" s="26" t="s">
        <v>61</v>
      </c>
      <c r="M123" s="26" t="s">
        <v>63</v>
      </c>
      <c r="N123" s="26" t="s">
        <v>100</v>
      </c>
      <c r="O123" s="26" t="n">
        <f aca="false">F123+G123+H123</f>
        <v>4424</v>
      </c>
      <c r="P123" s="28" t="n">
        <f aca="false">IFERROR(O123/I123,0)</f>
        <v>0.0805652680652681</v>
      </c>
    </row>
    <row r="124" customFormat="false" ht="15" hidden="false" customHeight="false" outlineLevel="0" collapsed="false">
      <c r="A124" s="26" t="s">
        <v>227</v>
      </c>
      <c r="B124" s="26" t="s">
        <v>37</v>
      </c>
      <c r="C124" s="27" t="n">
        <v>45457</v>
      </c>
      <c r="D124" s="26" t="s">
        <v>51</v>
      </c>
      <c r="E124" s="26" t="s">
        <v>103</v>
      </c>
      <c r="F124" s="26" t="n">
        <v>4363</v>
      </c>
      <c r="G124" s="26" t="n">
        <v>649</v>
      </c>
      <c r="H124" s="26" t="n">
        <v>140</v>
      </c>
      <c r="I124" s="26" t="n">
        <v>21815</v>
      </c>
      <c r="J124" s="26" t="n">
        <v>21481</v>
      </c>
      <c r="K124" s="26" t="n">
        <v>157</v>
      </c>
      <c r="L124" s="26" t="s">
        <v>62</v>
      </c>
      <c r="M124" s="26" t="s">
        <v>61</v>
      </c>
      <c r="N124" s="26" t="s">
        <v>100</v>
      </c>
      <c r="O124" s="26" t="n">
        <f aca="false">F124+G124+H124</f>
        <v>5152</v>
      </c>
      <c r="P124" s="28" t="n">
        <f aca="false">IFERROR(O124/I124,0)</f>
        <v>0.23616777446711</v>
      </c>
    </row>
    <row r="125" customFormat="false" ht="15" hidden="false" customHeight="false" outlineLevel="0" collapsed="false">
      <c r="A125" s="26" t="s">
        <v>228</v>
      </c>
      <c r="B125" s="26" t="s">
        <v>39</v>
      </c>
      <c r="C125" s="27" t="n">
        <v>45753</v>
      </c>
      <c r="D125" s="26" t="s">
        <v>48</v>
      </c>
      <c r="E125" s="26" t="s">
        <v>107</v>
      </c>
      <c r="F125" s="26" t="n">
        <v>736</v>
      </c>
      <c r="G125" s="26" t="n">
        <v>771</v>
      </c>
      <c r="H125" s="26" t="n">
        <v>225</v>
      </c>
      <c r="I125" s="26" t="n">
        <v>5152</v>
      </c>
      <c r="J125" s="26" t="n">
        <v>4706</v>
      </c>
      <c r="K125" s="26" t="n">
        <v>19</v>
      </c>
      <c r="L125" s="26" t="s">
        <v>64</v>
      </c>
      <c r="M125" s="26"/>
      <c r="N125" s="26" t="s">
        <v>105</v>
      </c>
      <c r="O125" s="26" t="n">
        <f aca="false">F125+G125+H125</f>
        <v>1732</v>
      </c>
      <c r="P125" s="28" t="n">
        <f aca="false">IFERROR(O125/I125,0)</f>
        <v>0.336180124223603</v>
      </c>
    </row>
    <row r="126" customFormat="false" ht="15" hidden="false" customHeight="false" outlineLevel="0" collapsed="false">
      <c r="A126" s="26" t="s">
        <v>229</v>
      </c>
      <c r="B126" s="26" t="s">
        <v>38</v>
      </c>
      <c r="C126" s="27" t="n">
        <v>45543</v>
      </c>
      <c r="D126" s="26" t="s">
        <v>48</v>
      </c>
      <c r="E126" s="26" t="s">
        <v>107</v>
      </c>
      <c r="F126" s="26" t="n">
        <v>3811</v>
      </c>
      <c r="G126" s="26" t="n">
        <v>866</v>
      </c>
      <c r="H126" s="26" t="n">
        <v>216</v>
      </c>
      <c r="I126" s="26" t="n">
        <v>34299</v>
      </c>
      <c r="J126" s="26" t="n">
        <v>34088</v>
      </c>
      <c r="K126" s="26" t="n">
        <v>233</v>
      </c>
      <c r="L126" s="26" t="s">
        <v>64</v>
      </c>
      <c r="M126" s="26"/>
      <c r="N126" s="26" t="s">
        <v>105</v>
      </c>
      <c r="O126" s="26" t="n">
        <f aca="false">F126+G126+H126</f>
        <v>4893</v>
      </c>
      <c r="P126" s="28" t="n">
        <f aca="false">IFERROR(O126/I126,0)</f>
        <v>0.142657220327123</v>
      </c>
    </row>
    <row r="127" customFormat="false" ht="15" hidden="false" customHeight="false" outlineLevel="0" collapsed="false">
      <c r="A127" s="26" t="s">
        <v>230</v>
      </c>
      <c r="B127" s="26" t="s">
        <v>37</v>
      </c>
      <c r="C127" s="27" t="n">
        <v>45744</v>
      </c>
      <c r="D127" s="26" t="s">
        <v>48</v>
      </c>
      <c r="E127" s="26" t="s">
        <v>107</v>
      </c>
      <c r="F127" s="26" t="n">
        <v>4158</v>
      </c>
      <c r="G127" s="26" t="n">
        <v>167</v>
      </c>
      <c r="H127" s="26" t="n">
        <v>241</v>
      </c>
      <c r="I127" s="26" t="n">
        <v>45738</v>
      </c>
      <c r="J127" s="26" t="n">
        <v>45183</v>
      </c>
      <c r="K127" s="26" t="n">
        <v>142</v>
      </c>
      <c r="L127" s="26" t="s">
        <v>61</v>
      </c>
      <c r="M127" s="26"/>
      <c r="N127" s="26" t="s">
        <v>100</v>
      </c>
      <c r="O127" s="26" t="n">
        <f aca="false">F127+G127+H127</f>
        <v>4566</v>
      </c>
      <c r="P127" s="28" t="n">
        <f aca="false">IFERROR(O127/I127,0)</f>
        <v>0.0998294634658271</v>
      </c>
    </row>
    <row r="128" customFormat="false" ht="15" hidden="false" customHeight="false" outlineLevel="0" collapsed="false">
      <c r="A128" s="26" t="s">
        <v>231</v>
      </c>
      <c r="B128" s="26" t="s">
        <v>36</v>
      </c>
      <c r="C128" s="27" t="n">
        <v>45684</v>
      </c>
      <c r="D128" s="26" t="s">
        <v>50</v>
      </c>
      <c r="E128" s="26" t="s">
        <v>96</v>
      </c>
      <c r="F128" s="26" t="n">
        <v>3452</v>
      </c>
      <c r="G128" s="26" t="n">
        <v>652</v>
      </c>
      <c r="H128" s="26" t="n">
        <v>442</v>
      </c>
      <c r="I128" s="26" t="n">
        <v>65588</v>
      </c>
      <c r="J128" s="26" t="n">
        <v>65049</v>
      </c>
      <c r="K128" s="26" t="n">
        <v>158</v>
      </c>
      <c r="L128" s="26" t="s">
        <v>62</v>
      </c>
      <c r="M128" s="26" t="s">
        <v>64</v>
      </c>
      <c r="N128" s="26" t="s">
        <v>97</v>
      </c>
      <c r="O128" s="26" t="n">
        <f aca="false">F128+G128+H128</f>
        <v>4546</v>
      </c>
      <c r="P128" s="28" t="n">
        <f aca="false">IFERROR(O128/I128,0)</f>
        <v>0.0693114594133073</v>
      </c>
    </row>
    <row r="129" customFormat="false" ht="15" hidden="false" customHeight="false" outlineLevel="0" collapsed="false">
      <c r="A129" s="26" t="s">
        <v>232</v>
      </c>
      <c r="B129" s="26" t="s">
        <v>38</v>
      </c>
      <c r="C129" s="27" t="n">
        <v>45667</v>
      </c>
      <c r="D129" s="26" t="s">
        <v>49</v>
      </c>
      <c r="E129" s="26" t="s">
        <v>110</v>
      </c>
      <c r="F129" s="26" t="n">
        <v>3092</v>
      </c>
      <c r="G129" s="26" t="n">
        <v>106</v>
      </c>
      <c r="H129" s="26" t="n">
        <v>291</v>
      </c>
      <c r="I129" s="26" t="n">
        <v>27828</v>
      </c>
      <c r="J129" s="26" t="n">
        <v>27217</v>
      </c>
      <c r="K129" s="26" t="n">
        <v>102</v>
      </c>
      <c r="L129" s="26" t="s">
        <v>64</v>
      </c>
      <c r="M129" s="26"/>
      <c r="N129" s="26" t="s">
        <v>113</v>
      </c>
      <c r="O129" s="26" t="n">
        <f aca="false">F129+G129+H129</f>
        <v>3489</v>
      </c>
      <c r="P129" s="28" t="n">
        <f aca="false">IFERROR(O129/I129,0)</f>
        <v>0.125377317809401</v>
      </c>
    </row>
    <row r="130" customFormat="false" ht="15" hidden="false" customHeight="false" outlineLevel="0" collapsed="false">
      <c r="A130" s="26" t="s">
        <v>233</v>
      </c>
      <c r="B130" s="26" t="s">
        <v>38</v>
      </c>
      <c r="C130" s="27" t="n">
        <v>45494</v>
      </c>
      <c r="D130" s="26" t="s">
        <v>52</v>
      </c>
      <c r="E130" s="26" t="s">
        <v>99</v>
      </c>
      <c r="F130" s="26" t="n">
        <v>2147</v>
      </c>
      <c r="G130" s="26" t="n">
        <v>430</v>
      </c>
      <c r="H130" s="26" t="n">
        <v>393</v>
      </c>
      <c r="I130" s="26" t="n">
        <v>17176</v>
      </c>
      <c r="J130" s="26" t="n">
        <v>16483</v>
      </c>
      <c r="K130" s="26" t="n">
        <v>170</v>
      </c>
      <c r="L130" s="26" t="s">
        <v>60</v>
      </c>
      <c r="M130" s="26"/>
      <c r="N130" s="26" t="s">
        <v>113</v>
      </c>
      <c r="O130" s="26" t="n">
        <f aca="false">F130+G130+H130</f>
        <v>2970</v>
      </c>
      <c r="P130" s="28" t="n">
        <f aca="false">IFERROR(O130/I130,0)</f>
        <v>0.172915696320447</v>
      </c>
    </row>
    <row r="131" customFormat="false" ht="15" hidden="false" customHeight="false" outlineLevel="0" collapsed="false">
      <c r="A131" s="26" t="s">
        <v>234</v>
      </c>
      <c r="B131" s="26" t="s">
        <v>39</v>
      </c>
      <c r="C131" s="27" t="n">
        <v>45564</v>
      </c>
      <c r="D131" s="26" t="s">
        <v>50</v>
      </c>
      <c r="E131" s="26" t="s">
        <v>96</v>
      </c>
      <c r="F131" s="26" t="n">
        <v>2936</v>
      </c>
      <c r="G131" s="26" t="n">
        <v>439</v>
      </c>
      <c r="H131" s="26" t="n">
        <v>44</v>
      </c>
      <c r="I131" s="26" t="n">
        <v>38168</v>
      </c>
      <c r="J131" s="26" t="n">
        <v>37571</v>
      </c>
      <c r="K131" s="26" t="n">
        <v>22</v>
      </c>
      <c r="L131" s="26" t="s">
        <v>62</v>
      </c>
      <c r="M131" s="26"/>
      <c r="N131" s="26" t="s">
        <v>105</v>
      </c>
      <c r="O131" s="26" t="n">
        <f aca="false">F131+G131+H131</f>
        <v>3419</v>
      </c>
      <c r="P131" s="28" t="n">
        <f aca="false">IFERROR(O131/I131,0)</f>
        <v>0.0895776566757493</v>
      </c>
    </row>
    <row r="132" customFormat="false" ht="15" hidden="false" customHeight="false" outlineLevel="0" collapsed="false">
      <c r="A132" s="26" t="s">
        <v>235</v>
      </c>
      <c r="B132" s="26" t="s">
        <v>37</v>
      </c>
      <c r="C132" s="27" t="n">
        <v>45586</v>
      </c>
      <c r="D132" s="26" t="s">
        <v>50</v>
      </c>
      <c r="E132" s="26" t="s">
        <v>96</v>
      </c>
      <c r="F132" s="26" t="n">
        <v>4840</v>
      </c>
      <c r="G132" s="26" t="n">
        <v>658</v>
      </c>
      <c r="H132" s="26" t="n">
        <v>211</v>
      </c>
      <c r="I132" s="26" t="n">
        <v>43560</v>
      </c>
      <c r="J132" s="26" t="n">
        <v>43225</v>
      </c>
      <c r="K132" s="26" t="n">
        <v>57</v>
      </c>
      <c r="L132" s="26" t="s">
        <v>62</v>
      </c>
      <c r="M132" s="26" t="s">
        <v>61</v>
      </c>
      <c r="N132" s="26" t="s">
        <v>100</v>
      </c>
      <c r="O132" s="26" t="n">
        <f aca="false">F132+G132+H132</f>
        <v>5709</v>
      </c>
      <c r="P132" s="28" t="n">
        <f aca="false">IFERROR(O132/I132,0)</f>
        <v>0.131060606060606</v>
      </c>
    </row>
    <row r="133" customFormat="false" ht="15" hidden="false" customHeight="false" outlineLevel="0" collapsed="false">
      <c r="A133" s="26" t="s">
        <v>236</v>
      </c>
      <c r="B133" s="26" t="s">
        <v>37</v>
      </c>
      <c r="C133" s="27" t="n">
        <v>45720</v>
      </c>
      <c r="D133" s="26" t="s">
        <v>51</v>
      </c>
      <c r="E133" s="26" t="s">
        <v>103</v>
      </c>
      <c r="F133" s="26" t="n">
        <v>1947</v>
      </c>
      <c r="G133" s="26" t="n">
        <v>842</v>
      </c>
      <c r="H133" s="26" t="n">
        <v>101</v>
      </c>
      <c r="I133" s="26" t="n">
        <v>21417</v>
      </c>
      <c r="J133" s="26" t="n">
        <v>20967</v>
      </c>
      <c r="K133" s="26" t="n">
        <v>186</v>
      </c>
      <c r="L133" s="26" t="s">
        <v>61</v>
      </c>
      <c r="M133" s="26"/>
      <c r="N133" s="26" t="s">
        <v>100</v>
      </c>
      <c r="O133" s="26" t="n">
        <f aca="false">F133+G133+H133</f>
        <v>2890</v>
      </c>
      <c r="P133" s="28" t="n">
        <f aca="false">IFERROR(O133/I133,0)</f>
        <v>0.134939534015035</v>
      </c>
    </row>
    <row r="134" customFormat="false" ht="15" hidden="false" customHeight="false" outlineLevel="0" collapsed="false">
      <c r="A134" s="26" t="s">
        <v>237</v>
      </c>
      <c r="B134" s="26" t="s">
        <v>36</v>
      </c>
      <c r="C134" s="27" t="n">
        <v>45694</v>
      </c>
      <c r="D134" s="26" t="s">
        <v>49</v>
      </c>
      <c r="E134" s="26" t="s">
        <v>110</v>
      </c>
      <c r="F134" s="26" t="n">
        <v>2072</v>
      </c>
      <c r="G134" s="26" t="n">
        <v>532</v>
      </c>
      <c r="H134" s="26" t="n">
        <v>71</v>
      </c>
      <c r="I134" s="26" t="n">
        <v>37296</v>
      </c>
      <c r="J134" s="26" t="n">
        <v>36467</v>
      </c>
      <c r="K134" s="26" t="n">
        <v>25</v>
      </c>
      <c r="L134" s="26" t="s">
        <v>62</v>
      </c>
      <c r="M134" s="26"/>
      <c r="N134" s="26" t="s">
        <v>105</v>
      </c>
      <c r="O134" s="26" t="n">
        <f aca="false">F134+G134+H134</f>
        <v>2675</v>
      </c>
      <c r="P134" s="28" t="n">
        <f aca="false">IFERROR(O134/I134,0)</f>
        <v>0.0717235092235092</v>
      </c>
    </row>
    <row r="135" customFormat="false" ht="15" hidden="false" customHeight="false" outlineLevel="0" collapsed="false">
      <c r="A135" s="26" t="s">
        <v>238</v>
      </c>
      <c r="B135" s="26" t="s">
        <v>38</v>
      </c>
      <c r="C135" s="27" t="n">
        <v>45771</v>
      </c>
      <c r="D135" s="26" t="s">
        <v>50</v>
      </c>
      <c r="E135" s="26" t="s">
        <v>96</v>
      </c>
      <c r="F135" s="26" t="n">
        <v>3731</v>
      </c>
      <c r="G135" s="26" t="n">
        <v>115</v>
      </c>
      <c r="H135" s="26" t="n">
        <v>135</v>
      </c>
      <c r="I135" s="26" t="n">
        <v>55965</v>
      </c>
      <c r="J135" s="26" t="n">
        <v>55436</v>
      </c>
      <c r="K135" s="26" t="n">
        <v>103</v>
      </c>
      <c r="L135" s="26" t="s">
        <v>60</v>
      </c>
      <c r="M135" s="26"/>
      <c r="N135" s="26" t="s">
        <v>113</v>
      </c>
      <c r="O135" s="26" t="n">
        <f aca="false">F135+G135+H135</f>
        <v>3981</v>
      </c>
      <c r="P135" s="28" t="n">
        <f aca="false">IFERROR(O135/I135,0)</f>
        <v>0.071133744304476</v>
      </c>
    </row>
    <row r="136" customFormat="false" ht="15" hidden="false" customHeight="false" outlineLevel="0" collapsed="false">
      <c r="A136" s="26" t="s">
        <v>239</v>
      </c>
      <c r="B136" s="26" t="s">
        <v>36</v>
      </c>
      <c r="C136" s="27" t="n">
        <v>45624</v>
      </c>
      <c r="D136" s="26" t="s">
        <v>52</v>
      </c>
      <c r="E136" s="26" t="s">
        <v>99</v>
      </c>
      <c r="F136" s="26" t="n">
        <v>4213</v>
      </c>
      <c r="G136" s="26" t="n">
        <v>253</v>
      </c>
      <c r="H136" s="26" t="n">
        <v>434</v>
      </c>
      <c r="I136" s="26" t="n">
        <v>75834</v>
      </c>
      <c r="J136" s="26" t="n">
        <v>75437</v>
      </c>
      <c r="K136" s="26" t="n">
        <v>272</v>
      </c>
      <c r="L136" s="26" t="s">
        <v>63</v>
      </c>
      <c r="M136" s="26"/>
      <c r="N136" s="26" t="s">
        <v>105</v>
      </c>
      <c r="O136" s="26" t="n">
        <f aca="false">F136+G136+H136</f>
        <v>4900</v>
      </c>
      <c r="P136" s="28" t="n">
        <f aca="false">IFERROR(O136/I136,0)</f>
        <v>0.0646148165730411</v>
      </c>
    </row>
    <row r="137" customFormat="false" ht="15" hidden="false" customHeight="false" outlineLevel="0" collapsed="false">
      <c r="A137" s="26" t="s">
        <v>240</v>
      </c>
      <c r="B137" s="26" t="s">
        <v>37</v>
      </c>
      <c r="C137" s="27" t="n">
        <v>45484</v>
      </c>
      <c r="D137" s="26" t="s">
        <v>52</v>
      </c>
      <c r="E137" s="26" t="s">
        <v>99</v>
      </c>
      <c r="F137" s="26" t="n">
        <v>3134</v>
      </c>
      <c r="G137" s="26" t="n">
        <v>888</v>
      </c>
      <c r="H137" s="26" t="n">
        <v>444</v>
      </c>
      <c r="I137" s="26" t="n">
        <v>21938</v>
      </c>
      <c r="J137" s="26" t="n">
        <v>21337</v>
      </c>
      <c r="K137" s="26" t="n">
        <v>130</v>
      </c>
      <c r="L137" s="26" t="s">
        <v>62</v>
      </c>
      <c r="M137" s="26" t="s">
        <v>61</v>
      </c>
      <c r="N137" s="26" t="s">
        <v>113</v>
      </c>
      <c r="O137" s="26" t="n">
        <f aca="false">F137+G137+H137</f>
        <v>4466</v>
      </c>
      <c r="P137" s="28" t="n">
        <f aca="false">IFERROR(O137/I137,0)</f>
        <v>0.203573707721761</v>
      </c>
    </row>
    <row r="138" customFormat="false" ht="15" hidden="false" customHeight="false" outlineLevel="0" collapsed="false">
      <c r="A138" s="26" t="s">
        <v>241</v>
      </c>
      <c r="B138" s="26" t="s">
        <v>36</v>
      </c>
      <c r="C138" s="27" t="n">
        <v>45504</v>
      </c>
      <c r="D138" s="26" t="s">
        <v>53</v>
      </c>
      <c r="E138" s="26" t="s">
        <v>119</v>
      </c>
      <c r="F138" s="26" t="n">
        <v>3008</v>
      </c>
      <c r="G138" s="26" t="n">
        <v>94</v>
      </c>
      <c r="H138" s="26" t="n">
        <v>37</v>
      </c>
      <c r="I138" s="26" t="n">
        <v>15040</v>
      </c>
      <c r="J138" s="26" t="n">
        <v>14639</v>
      </c>
      <c r="K138" s="26" t="n">
        <v>277</v>
      </c>
      <c r="L138" s="26" t="s">
        <v>60</v>
      </c>
      <c r="M138" s="26"/>
      <c r="N138" s="26" t="s">
        <v>97</v>
      </c>
      <c r="O138" s="26" t="n">
        <f aca="false">F138+G138+H138</f>
        <v>3139</v>
      </c>
      <c r="P138" s="28" t="n">
        <f aca="false">IFERROR(O138/I138,0)</f>
        <v>0.208710106382979</v>
      </c>
    </row>
    <row r="139" customFormat="false" ht="15" hidden="false" customHeight="false" outlineLevel="0" collapsed="false">
      <c r="A139" s="26" t="s">
        <v>242</v>
      </c>
      <c r="B139" s="26" t="s">
        <v>38</v>
      </c>
      <c r="C139" s="27" t="n">
        <v>45745</v>
      </c>
      <c r="D139" s="26" t="s">
        <v>49</v>
      </c>
      <c r="E139" s="26" t="s">
        <v>110</v>
      </c>
      <c r="F139" s="26" t="n">
        <v>305</v>
      </c>
      <c r="G139" s="26" t="n">
        <v>187</v>
      </c>
      <c r="H139" s="26" t="n">
        <v>243</v>
      </c>
      <c r="I139" s="26" t="n">
        <v>4575</v>
      </c>
      <c r="J139" s="26" t="n">
        <v>3704</v>
      </c>
      <c r="K139" s="26" t="n">
        <v>234</v>
      </c>
      <c r="L139" s="26" t="s">
        <v>61</v>
      </c>
      <c r="M139" s="26" t="s">
        <v>63</v>
      </c>
      <c r="N139" s="26" t="s">
        <v>113</v>
      </c>
      <c r="O139" s="26" t="n">
        <f aca="false">F139+G139+H139</f>
        <v>735</v>
      </c>
      <c r="P139" s="28" t="n">
        <f aca="false">IFERROR(O139/I139,0)</f>
        <v>0.160655737704918</v>
      </c>
    </row>
    <row r="140" customFormat="false" ht="15" hidden="false" customHeight="false" outlineLevel="0" collapsed="false">
      <c r="A140" s="26" t="s">
        <v>243</v>
      </c>
      <c r="B140" s="26" t="s">
        <v>39</v>
      </c>
      <c r="C140" s="27" t="n">
        <v>45594</v>
      </c>
      <c r="D140" s="26" t="s">
        <v>52</v>
      </c>
      <c r="E140" s="26" t="s">
        <v>99</v>
      </c>
      <c r="F140" s="26" t="n">
        <v>2746</v>
      </c>
      <c r="G140" s="26" t="n">
        <v>156</v>
      </c>
      <c r="H140" s="26" t="n">
        <v>203</v>
      </c>
      <c r="I140" s="26" t="n">
        <v>32952</v>
      </c>
      <c r="J140" s="26" t="n">
        <v>32147</v>
      </c>
      <c r="K140" s="26" t="n">
        <v>147</v>
      </c>
      <c r="L140" s="26" t="s">
        <v>61</v>
      </c>
      <c r="M140" s="26" t="s">
        <v>64</v>
      </c>
      <c r="N140" s="26" t="s">
        <v>100</v>
      </c>
      <c r="O140" s="26" t="n">
        <f aca="false">F140+G140+H140</f>
        <v>3105</v>
      </c>
      <c r="P140" s="28" t="n">
        <f aca="false">IFERROR(O140/I140,0)</f>
        <v>0.0942279679533867</v>
      </c>
    </row>
    <row r="141" customFormat="false" ht="15" hidden="false" customHeight="false" outlineLevel="0" collapsed="false">
      <c r="A141" s="26" t="s">
        <v>244</v>
      </c>
      <c r="B141" s="26" t="s">
        <v>36</v>
      </c>
      <c r="C141" s="27" t="n">
        <v>45488</v>
      </c>
      <c r="D141" s="26" t="s">
        <v>49</v>
      </c>
      <c r="E141" s="26" t="s">
        <v>110</v>
      </c>
      <c r="F141" s="26" t="n">
        <v>2291</v>
      </c>
      <c r="G141" s="26" t="n">
        <v>78</v>
      </c>
      <c r="H141" s="26" t="n">
        <v>485</v>
      </c>
      <c r="I141" s="26" t="n">
        <v>18328</v>
      </c>
      <c r="J141" s="26" t="n">
        <v>18101</v>
      </c>
      <c r="K141" s="26" t="n">
        <v>10</v>
      </c>
      <c r="L141" s="26" t="s">
        <v>60</v>
      </c>
      <c r="M141" s="26"/>
      <c r="N141" s="26" t="s">
        <v>97</v>
      </c>
      <c r="O141" s="26" t="n">
        <f aca="false">F141+G141+H141</f>
        <v>2854</v>
      </c>
      <c r="P141" s="28" t="n">
        <f aca="false">IFERROR(O141/I141,0)</f>
        <v>0.155718027062418</v>
      </c>
    </row>
    <row r="142" customFormat="false" ht="15" hidden="false" customHeight="false" outlineLevel="0" collapsed="false">
      <c r="A142" s="26" t="s">
        <v>245</v>
      </c>
      <c r="B142" s="26" t="s">
        <v>38</v>
      </c>
      <c r="C142" s="27" t="n">
        <v>45535</v>
      </c>
      <c r="D142" s="26" t="s">
        <v>49</v>
      </c>
      <c r="E142" s="26" t="s">
        <v>110</v>
      </c>
      <c r="F142" s="26" t="n">
        <v>3170</v>
      </c>
      <c r="G142" s="26" t="n">
        <v>857</v>
      </c>
      <c r="H142" s="26" t="n">
        <v>379</v>
      </c>
      <c r="I142" s="26" t="n">
        <v>19020</v>
      </c>
      <c r="J142" s="26" t="n">
        <v>18559</v>
      </c>
      <c r="K142" s="26" t="n">
        <v>240</v>
      </c>
      <c r="L142" s="26" t="s">
        <v>62</v>
      </c>
      <c r="M142" s="26"/>
      <c r="N142" s="26" t="s">
        <v>105</v>
      </c>
      <c r="O142" s="26" t="n">
        <f aca="false">F142+G142+H142</f>
        <v>4406</v>
      </c>
      <c r="P142" s="28" t="n">
        <f aca="false">IFERROR(O142/I142,0)</f>
        <v>0.231650893796004</v>
      </c>
    </row>
    <row r="143" customFormat="false" ht="15" hidden="false" customHeight="false" outlineLevel="0" collapsed="false">
      <c r="A143" s="26" t="s">
        <v>246</v>
      </c>
      <c r="B143" s="26" t="s">
        <v>39</v>
      </c>
      <c r="C143" s="27" t="n">
        <v>45741</v>
      </c>
      <c r="D143" s="26" t="s">
        <v>51</v>
      </c>
      <c r="E143" s="26" t="s">
        <v>103</v>
      </c>
      <c r="F143" s="26" t="n">
        <v>2070</v>
      </c>
      <c r="G143" s="26" t="n">
        <v>275</v>
      </c>
      <c r="H143" s="26" t="n">
        <v>386</v>
      </c>
      <c r="I143" s="26" t="n">
        <v>39330</v>
      </c>
      <c r="J143" s="26" t="n">
        <v>38627</v>
      </c>
      <c r="K143" s="26" t="n">
        <v>114</v>
      </c>
      <c r="L143" s="26" t="s">
        <v>62</v>
      </c>
      <c r="M143" s="26"/>
      <c r="N143" s="26" t="s">
        <v>113</v>
      </c>
      <c r="O143" s="26" t="n">
        <f aca="false">F143+G143+H143</f>
        <v>2731</v>
      </c>
      <c r="P143" s="28" t="n">
        <f aca="false">IFERROR(O143/I143,0)</f>
        <v>0.0694380879735571</v>
      </c>
    </row>
    <row r="144" customFormat="false" ht="15" hidden="false" customHeight="false" outlineLevel="0" collapsed="false">
      <c r="A144" s="26" t="s">
        <v>247</v>
      </c>
      <c r="B144" s="26" t="s">
        <v>39</v>
      </c>
      <c r="C144" s="27" t="n">
        <v>45567</v>
      </c>
      <c r="D144" s="26" t="s">
        <v>48</v>
      </c>
      <c r="E144" s="26" t="s">
        <v>107</v>
      </c>
      <c r="F144" s="26" t="n">
        <v>80</v>
      </c>
      <c r="G144" s="26" t="n">
        <v>362</v>
      </c>
      <c r="H144" s="26" t="n">
        <v>80</v>
      </c>
      <c r="I144" s="26" t="n">
        <v>1040</v>
      </c>
      <c r="J144" s="26" t="n">
        <v>349</v>
      </c>
      <c r="K144" s="26" t="n">
        <v>117</v>
      </c>
      <c r="L144" s="26" t="s">
        <v>61</v>
      </c>
      <c r="M144" s="26" t="s">
        <v>64</v>
      </c>
      <c r="N144" s="26" t="s">
        <v>100</v>
      </c>
      <c r="O144" s="26" t="n">
        <f aca="false">F144+G144+H144</f>
        <v>522</v>
      </c>
      <c r="P144" s="28" t="n">
        <f aca="false">IFERROR(O144/I144,0)</f>
        <v>0.501923076923077</v>
      </c>
    </row>
    <row r="145" customFormat="false" ht="15" hidden="false" customHeight="false" outlineLevel="0" collapsed="false">
      <c r="A145" s="26" t="s">
        <v>248</v>
      </c>
      <c r="B145" s="26" t="s">
        <v>39</v>
      </c>
      <c r="C145" s="27" t="n">
        <v>45593</v>
      </c>
      <c r="D145" s="26" t="s">
        <v>51</v>
      </c>
      <c r="E145" s="26" t="s">
        <v>103</v>
      </c>
      <c r="F145" s="26" t="n">
        <v>4929</v>
      </c>
      <c r="G145" s="26" t="n">
        <v>749</v>
      </c>
      <c r="H145" s="26" t="n">
        <v>452</v>
      </c>
      <c r="I145" s="26" t="n">
        <v>93651</v>
      </c>
      <c r="J145" s="26" t="n">
        <v>92810</v>
      </c>
      <c r="K145" s="26" t="n">
        <v>66</v>
      </c>
      <c r="L145" s="26" t="s">
        <v>63</v>
      </c>
      <c r="M145" s="26" t="s">
        <v>64</v>
      </c>
      <c r="N145" s="26" t="s">
        <v>97</v>
      </c>
      <c r="O145" s="26" t="n">
        <f aca="false">F145+G145+H145</f>
        <v>6130</v>
      </c>
      <c r="P145" s="28" t="n">
        <f aca="false">IFERROR(O145/I145,0)</f>
        <v>0.0654557879787723</v>
      </c>
    </row>
    <row r="146" customFormat="false" ht="15" hidden="false" customHeight="false" outlineLevel="0" collapsed="false">
      <c r="A146" s="26" t="s">
        <v>249</v>
      </c>
      <c r="B146" s="26" t="s">
        <v>37</v>
      </c>
      <c r="C146" s="27" t="n">
        <v>45516</v>
      </c>
      <c r="D146" s="26" t="s">
        <v>48</v>
      </c>
      <c r="E146" s="26" t="s">
        <v>107</v>
      </c>
      <c r="F146" s="26" t="n">
        <v>1878</v>
      </c>
      <c r="G146" s="26" t="n">
        <v>62</v>
      </c>
      <c r="H146" s="26" t="n">
        <v>179</v>
      </c>
      <c r="I146" s="26" t="n">
        <v>37560</v>
      </c>
      <c r="J146" s="26" t="n">
        <v>36874</v>
      </c>
      <c r="K146" s="26" t="n">
        <v>142</v>
      </c>
      <c r="L146" s="26" t="s">
        <v>60</v>
      </c>
      <c r="M146" s="26" t="s">
        <v>63</v>
      </c>
      <c r="N146" s="26" t="s">
        <v>97</v>
      </c>
      <c r="O146" s="26" t="n">
        <f aca="false">F146+G146+H146</f>
        <v>2119</v>
      </c>
      <c r="P146" s="28" t="n">
        <f aca="false">IFERROR(O146/I146,0)</f>
        <v>0.0564164004259851</v>
      </c>
    </row>
    <row r="147" customFormat="false" ht="15" hidden="false" customHeight="false" outlineLevel="0" collapsed="false">
      <c r="A147" s="26" t="s">
        <v>250</v>
      </c>
      <c r="B147" s="26" t="s">
        <v>39</v>
      </c>
      <c r="C147" s="27" t="n">
        <v>45448</v>
      </c>
      <c r="D147" s="26" t="s">
        <v>50</v>
      </c>
      <c r="E147" s="26" t="s">
        <v>96</v>
      </c>
      <c r="F147" s="26" t="n">
        <v>3065</v>
      </c>
      <c r="G147" s="26" t="n">
        <v>772</v>
      </c>
      <c r="H147" s="26" t="n">
        <v>142</v>
      </c>
      <c r="I147" s="26" t="n">
        <v>18390</v>
      </c>
      <c r="J147" s="26" t="n">
        <v>17875</v>
      </c>
      <c r="K147" s="26" t="n">
        <v>200</v>
      </c>
      <c r="L147" s="26" t="s">
        <v>64</v>
      </c>
      <c r="M147" s="26"/>
      <c r="N147" s="26" t="s">
        <v>97</v>
      </c>
      <c r="O147" s="26" t="n">
        <f aca="false">F147+G147+H147</f>
        <v>3979</v>
      </c>
      <c r="P147" s="28" t="n">
        <f aca="false">IFERROR(O147/I147,0)</f>
        <v>0.21636759108211</v>
      </c>
    </row>
    <row r="148" customFormat="false" ht="15" hidden="false" customHeight="false" outlineLevel="0" collapsed="false">
      <c r="A148" s="26" t="s">
        <v>251</v>
      </c>
      <c r="B148" s="26" t="s">
        <v>37</v>
      </c>
      <c r="C148" s="27" t="n">
        <v>45586</v>
      </c>
      <c r="D148" s="26" t="s">
        <v>50</v>
      </c>
      <c r="E148" s="26" t="s">
        <v>96</v>
      </c>
      <c r="F148" s="26" t="n">
        <v>3256</v>
      </c>
      <c r="G148" s="26" t="n">
        <v>459</v>
      </c>
      <c r="H148" s="26" t="n">
        <v>266</v>
      </c>
      <c r="I148" s="26" t="n">
        <v>26048</v>
      </c>
      <c r="J148" s="26" t="n">
        <v>25529</v>
      </c>
      <c r="K148" s="26" t="n">
        <v>143</v>
      </c>
      <c r="L148" s="26" t="s">
        <v>62</v>
      </c>
      <c r="M148" s="26" t="s">
        <v>64</v>
      </c>
      <c r="N148" s="26" t="s">
        <v>105</v>
      </c>
      <c r="O148" s="26" t="n">
        <f aca="false">F148+G148+H148</f>
        <v>3981</v>
      </c>
      <c r="P148" s="28" t="n">
        <f aca="false">IFERROR(O148/I148,0)</f>
        <v>0.152833230958231</v>
      </c>
    </row>
    <row r="149" customFormat="false" ht="15" hidden="false" customHeight="false" outlineLevel="0" collapsed="false">
      <c r="A149" s="26" t="s">
        <v>252</v>
      </c>
      <c r="B149" s="26" t="s">
        <v>37</v>
      </c>
      <c r="C149" s="27" t="n">
        <v>45762</v>
      </c>
      <c r="D149" s="26" t="s">
        <v>53</v>
      </c>
      <c r="E149" s="26" t="s">
        <v>119</v>
      </c>
      <c r="F149" s="26" t="n">
        <v>4133</v>
      </c>
      <c r="G149" s="26" t="n">
        <v>466</v>
      </c>
      <c r="H149" s="26" t="n">
        <v>327</v>
      </c>
      <c r="I149" s="26" t="n">
        <v>24798</v>
      </c>
      <c r="J149" s="26" t="n">
        <v>24620</v>
      </c>
      <c r="K149" s="26" t="n">
        <v>176</v>
      </c>
      <c r="L149" s="26" t="s">
        <v>64</v>
      </c>
      <c r="M149" s="26"/>
      <c r="N149" s="26" t="s">
        <v>100</v>
      </c>
      <c r="O149" s="26" t="n">
        <f aca="false">F149+G149+H149</f>
        <v>4926</v>
      </c>
      <c r="P149" s="28" t="n">
        <f aca="false">IFERROR(O149/I149,0)</f>
        <v>0.198645052020324</v>
      </c>
    </row>
    <row r="150" customFormat="false" ht="15" hidden="false" customHeight="false" outlineLevel="0" collapsed="false">
      <c r="A150" s="26" t="s">
        <v>253</v>
      </c>
      <c r="B150" s="26" t="s">
        <v>38</v>
      </c>
      <c r="C150" s="27" t="n">
        <v>45459</v>
      </c>
      <c r="D150" s="26" t="s">
        <v>53</v>
      </c>
      <c r="E150" s="26" t="s">
        <v>119</v>
      </c>
      <c r="F150" s="26" t="n">
        <v>1702</v>
      </c>
      <c r="G150" s="26" t="n">
        <v>750</v>
      </c>
      <c r="H150" s="26" t="n">
        <v>179</v>
      </c>
      <c r="I150" s="26" t="n">
        <v>34040</v>
      </c>
      <c r="J150" s="26" t="n">
        <v>33174</v>
      </c>
      <c r="K150" s="26" t="n">
        <v>76</v>
      </c>
      <c r="L150" s="26" t="s">
        <v>63</v>
      </c>
      <c r="M150" s="26"/>
      <c r="N150" s="26" t="s">
        <v>105</v>
      </c>
      <c r="O150" s="26" t="n">
        <f aca="false">F150+G150+H150</f>
        <v>2631</v>
      </c>
      <c r="P150" s="28" t="n">
        <f aca="false">IFERROR(O150/I150,0)</f>
        <v>0.0772914218566392</v>
      </c>
    </row>
    <row r="151" customFormat="false" ht="15" hidden="false" customHeight="false" outlineLevel="0" collapsed="false">
      <c r="A151" s="26" t="s">
        <v>254</v>
      </c>
      <c r="B151" s="26" t="s">
        <v>39</v>
      </c>
      <c r="C151" s="27" t="n">
        <v>45526</v>
      </c>
      <c r="D151" s="26" t="s">
        <v>48</v>
      </c>
      <c r="E151" s="26" t="s">
        <v>107</v>
      </c>
      <c r="F151" s="26" t="n">
        <v>4295</v>
      </c>
      <c r="G151" s="26" t="n">
        <v>853</v>
      </c>
      <c r="H151" s="26" t="n">
        <v>325</v>
      </c>
      <c r="I151" s="26" t="n">
        <v>85900</v>
      </c>
      <c r="J151" s="26" t="n">
        <v>85788</v>
      </c>
      <c r="K151" s="26" t="n">
        <v>290</v>
      </c>
      <c r="L151" s="26" t="s">
        <v>63</v>
      </c>
      <c r="M151" s="26" t="s">
        <v>62</v>
      </c>
      <c r="N151" s="26" t="s">
        <v>100</v>
      </c>
      <c r="O151" s="26" t="n">
        <f aca="false">F151+G151+H151</f>
        <v>5473</v>
      </c>
      <c r="P151" s="28" t="n">
        <f aca="false">IFERROR(O151/I151,0)</f>
        <v>0.0637136204889406</v>
      </c>
    </row>
    <row r="152" customFormat="false" ht="15" hidden="false" customHeight="false" outlineLevel="0" collapsed="false">
      <c r="A152" s="26" t="s">
        <v>255</v>
      </c>
      <c r="B152" s="26" t="s">
        <v>37</v>
      </c>
      <c r="C152" s="27" t="n">
        <v>45499</v>
      </c>
      <c r="D152" s="26" t="s">
        <v>49</v>
      </c>
      <c r="E152" s="26" t="s">
        <v>110</v>
      </c>
      <c r="F152" s="26" t="n">
        <v>3559</v>
      </c>
      <c r="G152" s="26" t="n">
        <v>59</v>
      </c>
      <c r="H152" s="26" t="n">
        <v>289</v>
      </c>
      <c r="I152" s="26" t="n">
        <v>35590</v>
      </c>
      <c r="J152" s="26" t="n">
        <v>35105</v>
      </c>
      <c r="K152" s="26" t="n">
        <v>122</v>
      </c>
      <c r="L152" s="26" t="s">
        <v>63</v>
      </c>
      <c r="M152" s="26" t="s">
        <v>64</v>
      </c>
      <c r="N152" s="26" t="s">
        <v>105</v>
      </c>
      <c r="O152" s="26" t="n">
        <f aca="false">F152+G152+H152</f>
        <v>3907</v>
      </c>
      <c r="P152" s="28" t="n">
        <f aca="false">IFERROR(O152/I152,0)</f>
        <v>0.109778027535825</v>
      </c>
    </row>
    <row r="153" customFormat="false" ht="15" hidden="false" customHeight="false" outlineLevel="0" collapsed="false">
      <c r="A153" s="26" t="s">
        <v>256</v>
      </c>
      <c r="B153" s="26" t="s">
        <v>36</v>
      </c>
      <c r="C153" s="27" t="n">
        <v>45769</v>
      </c>
      <c r="D153" s="26" t="s">
        <v>49</v>
      </c>
      <c r="E153" s="26" t="s">
        <v>110</v>
      </c>
      <c r="F153" s="26" t="n">
        <v>4804</v>
      </c>
      <c r="G153" s="26" t="n">
        <v>550</v>
      </c>
      <c r="H153" s="26" t="n">
        <v>270</v>
      </c>
      <c r="I153" s="26" t="n">
        <v>28824</v>
      </c>
      <c r="J153" s="26" t="n">
        <v>28370</v>
      </c>
      <c r="K153" s="26" t="n">
        <v>47</v>
      </c>
      <c r="L153" s="26" t="s">
        <v>62</v>
      </c>
      <c r="M153" s="26" t="s">
        <v>64</v>
      </c>
      <c r="N153" s="26" t="s">
        <v>113</v>
      </c>
      <c r="O153" s="26" t="n">
        <f aca="false">F153+G153+H153</f>
        <v>5624</v>
      </c>
      <c r="P153" s="28" t="n">
        <f aca="false">IFERROR(O153/I153,0)</f>
        <v>0.19511518179295</v>
      </c>
    </row>
    <row r="154" customFormat="false" ht="15" hidden="false" customHeight="false" outlineLevel="0" collapsed="false">
      <c r="A154" s="26" t="s">
        <v>257</v>
      </c>
      <c r="B154" s="26" t="s">
        <v>38</v>
      </c>
      <c r="C154" s="27" t="n">
        <v>45658</v>
      </c>
      <c r="D154" s="26" t="s">
        <v>53</v>
      </c>
      <c r="E154" s="26" t="s">
        <v>119</v>
      </c>
      <c r="F154" s="26" t="n">
        <v>754</v>
      </c>
      <c r="G154" s="26" t="n">
        <v>197</v>
      </c>
      <c r="H154" s="26" t="n">
        <v>257</v>
      </c>
      <c r="I154" s="26" t="n">
        <v>6786</v>
      </c>
      <c r="J154" s="26" t="n">
        <v>6221</v>
      </c>
      <c r="K154" s="26" t="n">
        <v>212</v>
      </c>
      <c r="L154" s="26" t="s">
        <v>60</v>
      </c>
      <c r="M154" s="26" t="s">
        <v>63</v>
      </c>
      <c r="N154" s="26" t="s">
        <v>105</v>
      </c>
      <c r="O154" s="26" t="n">
        <f aca="false">F154+G154+H154</f>
        <v>1208</v>
      </c>
      <c r="P154" s="28" t="n">
        <f aca="false">IFERROR(O154/I154,0)</f>
        <v>0.178013557323902</v>
      </c>
    </row>
    <row r="155" customFormat="false" ht="15" hidden="false" customHeight="false" outlineLevel="0" collapsed="false">
      <c r="A155" s="26" t="s">
        <v>258</v>
      </c>
      <c r="B155" s="26" t="s">
        <v>37</v>
      </c>
      <c r="C155" s="27" t="n">
        <v>45574</v>
      </c>
      <c r="D155" s="26" t="s">
        <v>48</v>
      </c>
      <c r="E155" s="26" t="s">
        <v>107</v>
      </c>
      <c r="F155" s="26" t="n">
        <v>985</v>
      </c>
      <c r="G155" s="26" t="n">
        <v>932</v>
      </c>
      <c r="H155" s="26" t="n">
        <v>287</v>
      </c>
      <c r="I155" s="26" t="n">
        <v>6895</v>
      </c>
      <c r="J155" s="26" t="n">
        <v>6757</v>
      </c>
      <c r="K155" s="26" t="n">
        <v>64</v>
      </c>
      <c r="L155" s="26" t="s">
        <v>62</v>
      </c>
      <c r="M155" s="26" t="s">
        <v>61</v>
      </c>
      <c r="N155" s="26" t="s">
        <v>100</v>
      </c>
      <c r="O155" s="26" t="n">
        <f aca="false">F155+G155+H155</f>
        <v>2204</v>
      </c>
      <c r="P155" s="28" t="n">
        <f aca="false">IFERROR(O155/I155,0)</f>
        <v>0.319651921682379</v>
      </c>
    </row>
    <row r="156" customFormat="false" ht="15" hidden="false" customHeight="false" outlineLevel="0" collapsed="false">
      <c r="A156" s="26" t="s">
        <v>259</v>
      </c>
      <c r="B156" s="26" t="s">
        <v>39</v>
      </c>
      <c r="C156" s="27" t="n">
        <v>45647</v>
      </c>
      <c r="D156" s="26" t="s">
        <v>49</v>
      </c>
      <c r="E156" s="26" t="s">
        <v>110</v>
      </c>
      <c r="F156" s="26" t="n">
        <v>2283</v>
      </c>
      <c r="G156" s="26" t="n">
        <v>210</v>
      </c>
      <c r="H156" s="26" t="n">
        <v>130</v>
      </c>
      <c r="I156" s="26" t="n">
        <v>22830</v>
      </c>
      <c r="J156" s="26" t="n">
        <v>22617</v>
      </c>
      <c r="K156" s="26" t="n">
        <v>143</v>
      </c>
      <c r="L156" s="26" t="s">
        <v>61</v>
      </c>
      <c r="M156" s="26" t="s">
        <v>64</v>
      </c>
      <c r="N156" s="26" t="s">
        <v>105</v>
      </c>
      <c r="O156" s="26" t="n">
        <f aca="false">F156+G156+H156</f>
        <v>2623</v>
      </c>
      <c r="P156" s="28" t="n">
        <f aca="false">IFERROR(O156/I156,0)</f>
        <v>0.114892685063513</v>
      </c>
    </row>
    <row r="157" customFormat="false" ht="15" hidden="false" customHeight="false" outlineLevel="0" collapsed="false">
      <c r="A157" s="26" t="s">
        <v>260</v>
      </c>
      <c r="B157" s="26" t="s">
        <v>36</v>
      </c>
      <c r="C157" s="27" t="n">
        <v>45587</v>
      </c>
      <c r="D157" s="26" t="s">
        <v>48</v>
      </c>
      <c r="E157" s="26" t="s">
        <v>107</v>
      </c>
      <c r="F157" s="26" t="n">
        <v>3352</v>
      </c>
      <c r="G157" s="26" t="n">
        <v>941</v>
      </c>
      <c r="H157" s="26" t="n">
        <v>482</v>
      </c>
      <c r="I157" s="26" t="n">
        <v>43576</v>
      </c>
      <c r="J157" s="26" t="n">
        <v>43338</v>
      </c>
      <c r="K157" s="26" t="n">
        <v>240</v>
      </c>
      <c r="L157" s="26" t="s">
        <v>63</v>
      </c>
      <c r="M157" s="26"/>
      <c r="N157" s="26" t="s">
        <v>105</v>
      </c>
      <c r="O157" s="26" t="n">
        <f aca="false">F157+G157+H157</f>
        <v>4775</v>
      </c>
      <c r="P157" s="28" t="n">
        <f aca="false">IFERROR(O157/I157,0)</f>
        <v>0.109578667156233</v>
      </c>
    </row>
    <row r="158" customFormat="false" ht="15" hidden="false" customHeight="false" outlineLevel="0" collapsed="false">
      <c r="A158" s="26" t="s">
        <v>261</v>
      </c>
      <c r="B158" s="26" t="s">
        <v>39</v>
      </c>
      <c r="C158" s="27" t="n">
        <v>45496</v>
      </c>
      <c r="D158" s="26" t="s">
        <v>51</v>
      </c>
      <c r="E158" s="26" t="s">
        <v>103</v>
      </c>
      <c r="F158" s="26" t="n">
        <v>4775</v>
      </c>
      <c r="G158" s="26" t="n">
        <v>173</v>
      </c>
      <c r="H158" s="26" t="n">
        <v>206</v>
      </c>
      <c r="I158" s="26" t="n">
        <v>47750</v>
      </c>
      <c r="J158" s="26" t="n">
        <v>47544</v>
      </c>
      <c r="K158" s="26" t="n">
        <v>187</v>
      </c>
      <c r="L158" s="26" t="s">
        <v>64</v>
      </c>
      <c r="M158" s="26" t="s">
        <v>63</v>
      </c>
      <c r="N158" s="26" t="s">
        <v>113</v>
      </c>
      <c r="O158" s="26" t="n">
        <f aca="false">F158+G158+H158</f>
        <v>5154</v>
      </c>
      <c r="P158" s="28" t="n">
        <f aca="false">IFERROR(O158/I158,0)</f>
        <v>0.107937172774869</v>
      </c>
    </row>
    <row r="159" customFormat="false" ht="15" hidden="false" customHeight="false" outlineLevel="0" collapsed="false">
      <c r="A159" s="26" t="s">
        <v>262</v>
      </c>
      <c r="B159" s="26" t="s">
        <v>37</v>
      </c>
      <c r="C159" s="27" t="n">
        <v>45515</v>
      </c>
      <c r="D159" s="26" t="s">
        <v>51</v>
      </c>
      <c r="E159" s="26" t="s">
        <v>103</v>
      </c>
      <c r="F159" s="26" t="n">
        <v>1762</v>
      </c>
      <c r="G159" s="26" t="n">
        <v>405</v>
      </c>
      <c r="H159" s="26" t="n">
        <v>423</v>
      </c>
      <c r="I159" s="26" t="n">
        <v>22906</v>
      </c>
      <c r="J159" s="26" t="n">
        <v>21925</v>
      </c>
      <c r="K159" s="26" t="n">
        <v>25</v>
      </c>
      <c r="L159" s="26" t="s">
        <v>60</v>
      </c>
      <c r="M159" s="26"/>
      <c r="N159" s="26" t="s">
        <v>100</v>
      </c>
      <c r="O159" s="26" t="n">
        <f aca="false">F159+G159+H159</f>
        <v>2590</v>
      </c>
      <c r="P159" s="28" t="n">
        <f aca="false">IFERROR(O159/I159,0)</f>
        <v>0.113070811141186</v>
      </c>
    </row>
    <row r="160" customFormat="false" ht="15" hidden="false" customHeight="false" outlineLevel="0" collapsed="false">
      <c r="A160" s="26" t="s">
        <v>263</v>
      </c>
      <c r="B160" s="26" t="s">
        <v>36</v>
      </c>
      <c r="C160" s="27" t="n">
        <v>45621</v>
      </c>
      <c r="D160" s="26" t="s">
        <v>51</v>
      </c>
      <c r="E160" s="26" t="s">
        <v>103</v>
      </c>
      <c r="F160" s="26" t="n">
        <v>2120</v>
      </c>
      <c r="G160" s="26" t="n">
        <v>158</v>
      </c>
      <c r="H160" s="26" t="n">
        <v>488</v>
      </c>
      <c r="I160" s="26" t="n">
        <v>12720</v>
      </c>
      <c r="J160" s="26" t="n">
        <v>12085</v>
      </c>
      <c r="K160" s="26" t="n">
        <v>17</v>
      </c>
      <c r="L160" s="26" t="s">
        <v>64</v>
      </c>
      <c r="M160" s="26" t="s">
        <v>63</v>
      </c>
      <c r="N160" s="26" t="s">
        <v>100</v>
      </c>
      <c r="O160" s="26" t="n">
        <f aca="false">F160+G160+H160</f>
        <v>2766</v>
      </c>
      <c r="P160" s="28" t="n">
        <f aca="false">IFERROR(O160/I160,0)</f>
        <v>0.217452830188679</v>
      </c>
    </row>
    <row r="161" customFormat="false" ht="15" hidden="false" customHeight="false" outlineLevel="0" collapsed="false">
      <c r="A161" s="26" t="s">
        <v>264</v>
      </c>
      <c r="B161" s="26" t="s">
        <v>38</v>
      </c>
      <c r="C161" s="27" t="n">
        <v>45528</v>
      </c>
      <c r="D161" s="26" t="s">
        <v>53</v>
      </c>
      <c r="E161" s="26" t="s">
        <v>119</v>
      </c>
      <c r="F161" s="26" t="n">
        <v>1082</v>
      </c>
      <c r="G161" s="26" t="n">
        <v>209</v>
      </c>
      <c r="H161" s="26" t="n">
        <v>484</v>
      </c>
      <c r="I161" s="26" t="n">
        <v>19476</v>
      </c>
      <c r="J161" s="26" t="n">
        <v>18654</v>
      </c>
      <c r="K161" s="26" t="n">
        <v>20</v>
      </c>
      <c r="L161" s="26" t="s">
        <v>64</v>
      </c>
      <c r="M161" s="26"/>
      <c r="N161" s="26" t="s">
        <v>113</v>
      </c>
      <c r="O161" s="26" t="n">
        <f aca="false">F161+G161+H161</f>
        <v>1775</v>
      </c>
      <c r="P161" s="28" t="n">
        <f aca="false">IFERROR(O161/I161,0)</f>
        <v>0.0911378106387349</v>
      </c>
    </row>
    <row r="162" customFormat="false" ht="15" hidden="false" customHeight="false" outlineLevel="0" collapsed="false">
      <c r="A162" s="26" t="s">
        <v>265</v>
      </c>
      <c r="B162" s="26" t="s">
        <v>38</v>
      </c>
      <c r="C162" s="27" t="n">
        <v>45707</v>
      </c>
      <c r="D162" s="26" t="s">
        <v>52</v>
      </c>
      <c r="E162" s="26" t="s">
        <v>99</v>
      </c>
      <c r="F162" s="26" t="n">
        <v>4671</v>
      </c>
      <c r="G162" s="26" t="n">
        <v>876</v>
      </c>
      <c r="H162" s="26" t="n">
        <v>366</v>
      </c>
      <c r="I162" s="26" t="n">
        <v>51381</v>
      </c>
      <c r="J162" s="26" t="n">
        <v>50565</v>
      </c>
      <c r="K162" s="26" t="n">
        <v>245</v>
      </c>
      <c r="L162" s="26" t="s">
        <v>62</v>
      </c>
      <c r="M162" s="26"/>
      <c r="N162" s="26" t="s">
        <v>100</v>
      </c>
      <c r="O162" s="26" t="n">
        <f aca="false">F162+G162+H162</f>
        <v>5913</v>
      </c>
      <c r="P162" s="28" t="n">
        <f aca="false">IFERROR(O162/I162,0)</f>
        <v>0.115081450341566</v>
      </c>
    </row>
    <row r="163" customFormat="false" ht="15" hidden="false" customHeight="false" outlineLevel="0" collapsed="false">
      <c r="A163" s="26" t="s">
        <v>266</v>
      </c>
      <c r="B163" s="26" t="s">
        <v>36</v>
      </c>
      <c r="C163" s="27" t="n">
        <v>45748</v>
      </c>
      <c r="D163" s="26" t="s">
        <v>51</v>
      </c>
      <c r="E163" s="26" t="s">
        <v>103</v>
      </c>
      <c r="F163" s="26" t="n">
        <v>3430</v>
      </c>
      <c r="G163" s="26" t="n">
        <v>566</v>
      </c>
      <c r="H163" s="26" t="n">
        <v>164</v>
      </c>
      <c r="I163" s="26" t="n">
        <v>48020</v>
      </c>
      <c r="J163" s="26" t="n">
        <v>47305</v>
      </c>
      <c r="K163" s="26" t="n">
        <v>120</v>
      </c>
      <c r="L163" s="26" t="s">
        <v>63</v>
      </c>
      <c r="M163" s="26"/>
      <c r="N163" s="26" t="s">
        <v>100</v>
      </c>
      <c r="O163" s="26" t="n">
        <f aca="false">F163+G163+H163</f>
        <v>4160</v>
      </c>
      <c r="P163" s="28" t="n">
        <f aca="false">IFERROR(O163/I163,0)</f>
        <v>0.0866305705955852</v>
      </c>
    </row>
    <row r="164" customFormat="false" ht="15" hidden="false" customHeight="false" outlineLevel="0" collapsed="false">
      <c r="A164" s="26" t="s">
        <v>267</v>
      </c>
      <c r="B164" s="26" t="s">
        <v>37</v>
      </c>
      <c r="C164" s="27" t="n">
        <v>45755</v>
      </c>
      <c r="D164" s="26" t="s">
        <v>49</v>
      </c>
      <c r="E164" s="26" t="s">
        <v>110</v>
      </c>
      <c r="F164" s="26" t="n">
        <v>4501</v>
      </c>
      <c r="G164" s="26" t="n">
        <v>375</v>
      </c>
      <c r="H164" s="26" t="n">
        <v>323</v>
      </c>
      <c r="I164" s="26" t="n">
        <v>22505</v>
      </c>
      <c r="J164" s="26" t="n">
        <v>21836</v>
      </c>
      <c r="K164" s="26" t="n">
        <v>132</v>
      </c>
      <c r="L164" s="26" t="s">
        <v>61</v>
      </c>
      <c r="M164" s="26"/>
      <c r="N164" s="26" t="s">
        <v>113</v>
      </c>
      <c r="O164" s="26" t="n">
        <f aca="false">F164+G164+H164</f>
        <v>5199</v>
      </c>
      <c r="P164" s="28" t="n">
        <f aca="false">IFERROR(O164/I164,0)</f>
        <v>0.231015329926683</v>
      </c>
    </row>
    <row r="165" customFormat="false" ht="15" hidden="false" customHeight="false" outlineLevel="0" collapsed="false">
      <c r="A165" s="26" t="s">
        <v>268</v>
      </c>
      <c r="B165" s="26" t="s">
        <v>39</v>
      </c>
      <c r="C165" s="27" t="n">
        <v>45715</v>
      </c>
      <c r="D165" s="26" t="s">
        <v>52</v>
      </c>
      <c r="E165" s="26" t="s">
        <v>99</v>
      </c>
      <c r="F165" s="26" t="n">
        <v>4934</v>
      </c>
      <c r="G165" s="26" t="n">
        <v>971</v>
      </c>
      <c r="H165" s="26" t="n">
        <v>156</v>
      </c>
      <c r="I165" s="26" t="n">
        <v>39472</v>
      </c>
      <c r="J165" s="26" t="n">
        <v>39025</v>
      </c>
      <c r="K165" s="26" t="n">
        <v>169</v>
      </c>
      <c r="L165" s="26" t="s">
        <v>60</v>
      </c>
      <c r="M165" s="26" t="s">
        <v>64</v>
      </c>
      <c r="N165" s="26" t="s">
        <v>100</v>
      </c>
      <c r="O165" s="26" t="n">
        <f aca="false">F165+G165+H165</f>
        <v>6061</v>
      </c>
      <c r="P165" s="28" t="n">
        <f aca="false">IFERROR(O165/I165,0)</f>
        <v>0.153551884880422</v>
      </c>
    </row>
    <row r="166" customFormat="false" ht="15" hidden="false" customHeight="false" outlineLevel="0" collapsed="false">
      <c r="A166" s="26" t="s">
        <v>269</v>
      </c>
      <c r="B166" s="26" t="s">
        <v>38</v>
      </c>
      <c r="C166" s="27" t="n">
        <v>45637</v>
      </c>
      <c r="D166" s="26" t="s">
        <v>52</v>
      </c>
      <c r="E166" s="26" t="s">
        <v>99</v>
      </c>
      <c r="F166" s="26" t="n">
        <v>3239</v>
      </c>
      <c r="G166" s="26" t="n">
        <v>43</v>
      </c>
      <c r="H166" s="26" t="n">
        <v>211</v>
      </c>
      <c r="I166" s="26" t="n">
        <v>22673</v>
      </c>
      <c r="J166" s="26" t="n">
        <v>22171</v>
      </c>
      <c r="K166" s="26" t="n">
        <v>230</v>
      </c>
      <c r="L166" s="26" t="s">
        <v>63</v>
      </c>
      <c r="M166" s="26" t="s">
        <v>64</v>
      </c>
      <c r="N166" s="26" t="s">
        <v>100</v>
      </c>
      <c r="O166" s="26" t="n">
        <f aca="false">F166+G166+H166</f>
        <v>3493</v>
      </c>
      <c r="P166" s="28" t="n">
        <f aca="false">IFERROR(O166/I166,0)</f>
        <v>0.15405989502933</v>
      </c>
    </row>
    <row r="167" customFormat="false" ht="15" hidden="false" customHeight="false" outlineLevel="0" collapsed="false">
      <c r="A167" s="26" t="s">
        <v>270</v>
      </c>
      <c r="B167" s="26" t="s">
        <v>38</v>
      </c>
      <c r="C167" s="27" t="n">
        <v>45704</v>
      </c>
      <c r="D167" s="26" t="s">
        <v>50</v>
      </c>
      <c r="E167" s="26" t="s">
        <v>96</v>
      </c>
      <c r="F167" s="26" t="n">
        <v>1076</v>
      </c>
      <c r="G167" s="26" t="n">
        <v>313</v>
      </c>
      <c r="H167" s="26" t="n">
        <v>306</v>
      </c>
      <c r="I167" s="26" t="n">
        <v>11836</v>
      </c>
      <c r="J167" s="26" t="n">
        <v>11596</v>
      </c>
      <c r="K167" s="26" t="n">
        <v>104</v>
      </c>
      <c r="L167" s="26" t="s">
        <v>60</v>
      </c>
      <c r="M167" s="26"/>
      <c r="N167" s="26" t="s">
        <v>100</v>
      </c>
      <c r="O167" s="26" t="n">
        <f aca="false">F167+G167+H167</f>
        <v>1695</v>
      </c>
      <c r="P167" s="28" t="n">
        <f aca="false">IFERROR(O167/I167,0)</f>
        <v>0.143207164582629</v>
      </c>
    </row>
    <row r="168" customFormat="false" ht="15" hidden="false" customHeight="false" outlineLevel="0" collapsed="false">
      <c r="A168" s="26" t="s">
        <v>271</v>
      </c>
      <c r="B168" s="26" t="s">
        <v>37</v>
      </c>
      <c r="C168" s="27" t="n">
        <v>45624</v>
      </c>
      <c r="D168" s="26" t="s">
        <v>52</v>
      </c>
      <c r="E168" s="26" t="s">
        <v>99</v>
      </c>
      <c r="F168" s="26" t="n">
        <v>4771</v>
      </c>
      <c r="G168" s="26" t="n">
        <v>818</v>
      </c>
      <c r="H168" s="26" t="n">
        <v>56</v>
      </c>
      <c r="I168" s="26" t="n">
        <v>57252</v>
      </c>
      <c r="J168" s="26" t="n">
        <v>56378</v>
      </c>
      <c r="K168" s="26" t="n">
        <v>150</v>
      </c>
      <c r="L168" s="26" t="s">
        <v>62</v>
      </c>
      <c r="M168" s="26"/>
      <c r="N168" s="26" t="s">
        <v>100</v>
      </c>
      <c r="O168" s="26" t="n">
        <f aca="false">F168+G168+H168</f>
        <v>5645</v>
      </c>
      <c r="P168" s="28" t="n">
        <f aca="false">IFERROR(O168/I168,0)</f>
        <v>0.0985991755746524</v>
      </c>
    </row>
    <row r="169" customFormat="false" ht="15" hidden="false" customHeight="false" outlineLevel="0" collapsed="false">
      <c r="A169" s="26" t="s">
        <v>272</v>
      </c>
      <c r="B169" s="26" t="s">
        <v>36</v>
      </c>
      <c r="C169" s="27" t="n">
        <v>45608</v>
      </c>
      <c r="D169" s="26" t="s">
        <v>52</v>
      </c>
      <c r="E169" s="26" t="s">
        <v>99</v>
      </c>
      <c r="F169" s="26" t="n">
        <v>2418</v>
      </c>
      <c r="G169" s="26" t="n">
        <v>754</v>
      </c>
      <c r="H169" s="26" t="n">
        <v>54</v>
      </c>
      <c r="I169" s="26" t="n">
        <v>43524</v>
      </c>
      <c r="J169" s="26" t="n">
        <v>42743</v>
      </c>
      <c r="K169" s="26" t="n">
        <v>182</v>
      </c>
      <c r="L169" s="26" t="s">
        <v>61</v>
      </c>
      <c r="M169" s="26" t="s">
        <v>63</v>
      </c>
      <c r="N169" s="26" t="s">
        <v>113</v>
      </c>
      <c r="O169" s="26" t="n">
        <f aca="false">F169+G169+H169</f>
        <v>3226</v>
      </c>
      <c r="P169" s="28" t="n">
        <f aca="false">IFERROR(O169/I169,0)</f>
        <v>0.074120025732929</v>
      </c>
    </row>
    <row r="170" customFormat="false" ht="15" hidden="false" customHeight="false" outlineLevel="0" collapsed="false">
      <c r="A170" s="26" t="s">
        <v>273</v>
      </c>
      <c r="B170" s="26" t="s">
        <v>39</v>
      </c>
      <c r="C170" s="27" t="n">
        <v>45629</v>
      </c>
      <c r="D170" s="26" t="s">
        <v>53</v>
      </c>
      <c r="E170" s="26" t="s">
        <v>119</v>
      </c>
      <c r="F170" s="26" t="n">
        <v>3809</v>
      </c>
      <c r="G170" s="26" t="n">
        <v>273</v>
      </c>
      <c r="H170" s="26" t="n">
        <v>200</v>
      </c>
      <c r="I170" s="26" t="n">
        <v>34281</v>
      </c>
      <c r="J170" s="26" t="n">
        <v>33534</v>
      </c>
      <c r="K170" s="26" t="n">
        <v>83</v>
      </c>
      <c r="L170" s="26" t="s">
        <v>63</v>
      </c>
      <c r="M170" s="26"/>
      <c r="N170" s="26" t="s">
        <v>105</v>
      </c>
      <c r="O170" s="26" t="n">
        <f aca="false">F170+G170+H170</f>
        <v>4282</v>
      </c>
      <c r="P170" s="28" t="n">
        <f aca="false">IFERROR(O170/I170,0)</f>
        <v>0.124908841632391</v>
      </c>
    </row>
    <row r="171" customFormat="false" ht="15" hidden="false" customHeight="false" outlineLevel="0" collapsed="false">
      <c r="A171" s="26" t="s">
        <v>274</v>
      </c>
      <c r="B171" s="26" t="s">
        <v>38</v>
      </c>
      <c r="C171" s="27" t="n">
        <v>45775</v>
      </c>
      <c r="D171" s="26" t="s">
        <v>52</v>
      </c>
      <c r="E171" s="26" t="s">
        <v>99</v>
      </c>
      <c r="F171" s="26" t="n">
        <v>3577</v>
      </c>
      <c r="G171" s="26" t="n">
        <v>596</v>
      </c>
      <c r="H171" s="26" t="n">
        <v>493</v>
      </c>
      <c r="I171" s="26" t="n">
        <v>67963</v>
      </c>
      <c r="J171" s="26" t="n">
        <v>67839</v>
      </c>
      <c r="K171" s="26" t="n">
        <v>53</v>
      </c>
      <c r="L171" s="26" t="s">
        <v>64</v>
      </c>
      <c r="M171" s="26" t="s">
        <v>63</v>
      </c>
      <c r="N171" s="26" t="s">
        <v>113</v>
      </c>
      <c r="O171" s="26" t="n">
        <f aca="false">F171+G171+H171</f>
        <v>4666</v>
      </c>
      <c r="P171" s="28" t="n">
        <f aca="false">IFERROR(O171/I171,0)</f>
        <v>0.0686550034577638</v>
      </c>
    </row>
    <row r="172" customFormat="false" ht="15" hidden="false" customHeight="false" outlineLevel="0" collapsed="false">
      <c r="A172" s="26" t="s">
        <v>275</v>
      </c>
      <c r="B172" s="26" t="s">
        <v>39</v>
      </c>
      <c r="C172" s="27" t="n">
        <v>45657</v>
      </c>
      <c r="D172" s="26" t="s">
        <v>53</v>
      </c>
      <c r="E172" s="26" t="s">
        <v>119</v>
      </c>
      <c r="F172" s="26" t="n">
        <v>1018</v>
      </c>
      <c r="G172" s="26" t="n">
        <v>447</v>
      </c>
      <c r="H172" s="26" t="n">
        <v>332</v>
      </c>
      <c r="I172" s="26" t="n">
        <v>18324</v>
      </c>
      <c r="J172" s="26" t="n">
        <v>18164</v>
      </c>
      <c r="K172" s="26" t="n">
        <v>38</v>
      </c>
      <c r="L172" s="26" t="s">
        <v>62</v>
      </c>
      <c r="M172" s="26" t="s">
        <v>61</v>
      </c>
      <c r="N172" s="26" t="s">
        <v>113</v>
      </c>
      <c r="O172" s="26" t="n">
        <f aca="false">F172+G172+H172</f>
        <v>1797</v>
      </c>
      <c r="P172" s="28" t="n">
        <f aca="false">IFERROR(O172/I172,0)</f>
        <v>0.098068107400131</v>
      </c>
    </row>
    <row r="173" customFormat="false" ht="15" hidden="false" customHeight="false" outlineLevel="0" collapsed="false">
      <c r="A173" s="26" t="s">
        <v>276</v>
      </c>
      <c r="B173" s="26" t="s">
        <v>36</v>
      </c>
      <c r="C173" s="27" t="n">
        <v>45518</v>
      </c>
      <c r="D173" s="26" t="s">
        <v>48</v>
      </c>
      <c r="E173" s="26" t="s">
        <v>107</v>
      </c>
      <c r="F173" s="26" t="n">
        <v>3073</v>
      </c>
      <c r="G173" s="26" t="n">
        <v>553</v>
      </c>
      <c r="H173" s="26" t="n">
        <v>174</v>
      </c>
      <c r="I173" s="26" t="n">
        <v>52241</v>
      </c>
      <c r="J173" s="26" t="n">
        <v>51605</v>
      </c>
      <c r="K173" s="26" t="n">
        <v>246</v>
      </c>
      <c r="L173" s="26" t="s">
        <v>61</v>
      </c>
      <c r="M173" s="26" t="s">
        <v>64</v>
      </c>
      <c r="N173" s="26" t="s">
        <v>113</v>
      </c>
      <c r="O173" s="26" t="n">
        <f aca="false">F173+G173+H173</f>
        <v>3800</v>
      </c>
      <c r="P173" s="28" t="n">
        <f aca="false">IFERROR(O173/I173,0)</f>
        <v>0.0727398020711702</v>
      </c>
    </row>
    <row r="174" customFormat="false" ht="15" hidden="false" customHeight="false" outlineLevel="0" collapsed="false">
      <c r="A174" s="26" t="s">
        <v>277</v>
      </c>
      <c r="B174" s="26" t="s">
        <v>38</v>
      </c>
      <c r="C174" s="27" t="n">
        <v>45631</v>
      </c>
      <c r="D174" s="26" t="s">
        <v>53</v>
      </c>
      <c r="E174" s="26" t="s">
        <v>119</v>
      </c>
      <c r="F174" s="26" t="n">
        <v>1330</v>
      </c>
      <c r="G174" s="26" t="n">
        <v>925</v>
      </c>
      <c r="H174" s="26" t="n">
        <v>35</v>
      </c>
      <c r="I174" s="26" t="n">
        <v>15960</v>
      </c>
      <c r="J174" s="26" t="n">
        <v>15379</v>
      </c>
      <c r="K174" s="26" t="n">
        <v>229</v>
      </c>
      <c r="L174" s="26" t="s">
        <v>60</v>
      </c>
      <c r="M174" s="26" t="s">
        <v>63</v>
      </c>
      <c r="N174" s="26" t="s">
        <v>113</v>
      </c>
      <c r="O174" s="26" t="n">
        <f aca="false">F174+G174+H174</f>
        <v>2290</v>
      </c>
      <c r="P174" s="28" t="n">
        <f aca="false">IFERROR(O174/I174,0)</f>
        <v>0.143483709273183</v>
      </c>
    </row>
    <row r="175" customFormat="false" ht="15" hidden="false" customHeight="false" outlineLevel="0" collapsed="false">
      <c r="A175" s="26" t="s">
        <v>278</v>
      </c>
      <c r="B175" s="26" t="s">
        <v>36</v>
      </c>
      <c r="C175" s="27" t="n">
        <v>45465</v>
      </c>
      <c r="D175" s="26" t="s">
        <v>52</v>
      </c>
      <c r="E175" s="26" t="s">
        <v>99</v>
      </c>
      <c r="F175" s="26" t="n">
        <v>3828</v>
      </c>
      <c r="G175" s="26" t="n">
        <v>148</v>
      </c>
      <c r="H175" s="26" t="n">
        <v>253</v>
      </c>
      <c r="I175" s="26" t="n">
        <v>30624</v>
      </c>
      <c r="J175" s="26" t="n">
        <v>30229</v>
      </c>
      <c r="K175" s="26" t="n">
        <v>235</v>
      </c>
      <c r="L175" s="26" t="s">
        <v>62</v>
      </c>
      <c r="M175" s="26" t="s">
        <v>64</v>
      </c>
      <c r="N175" s="26" t="s">
        <v>113</v>
      </c>
      <c r="O175" s="26" t="n">
        <f aca="false">F175+G175+H175</f>
        <v>4229</v>
      </c>
      <c r="P175" s="28" t="n">
        <f aca="false">IFERROR(O175/I175,0)</f>
        <v>0.138094305120167</v>
      </c>
    </row>
    <row r="176" customFormat="false" ht="15" hidden="false" customHeight="false" outlineLevel="0" collapsed="false">
      <c r="A176" s="26" t="s">
        <v>279</v>
      </c>
      <c r="B176" s="26" t="s">
        <v>37</v>
      </c>
      <c r="C176" s="27" t="n">
        <v>45674</v>
      </c>
      <c r="D176" s="26" t="s">
        <v>50</v>
      </c>
      <c r="E176" s="26" t="s">
        <v>96</v>
      </c>
      <c r="F176" s="26" t="n">
        <v>142</v>
      </c>
      <c r="G176" s="26" t="n">
        <v>784</v>
      </c>
      <c r="H176" s="26" t="n">
        <v>183</v>
      </c>
      <c r="I176" s="26" t="n">
        <v>1704</v>
      </c>
      <c r="J176" s="26" t="n">
        <v>995</v>
      </c>
      <c r="K176" s="26" t="n">
        <v>154</v>
      </c>
      <c r="L176" s="26" t="s">
        <v>62</v>
      </c>
      <c r="M176" s="26"/>
      <c r="N176" s="26" t="s">
        <v>97</v>
      </c>
      <c r="O176" s="26" t="n">
        <f aca="false">F176+G176+H176</f>
        <v>1109</v>
      </c>
      <c r="P176" s="28" t="n">
        <f aca="false">IFERROR(O176/I176,0)</f>
        <v>0.650821596244132</v>
      </c>
    </row>
    <row r="177" customFormat="false" ht="15" hidden="false" customHeight="false" outlineLevel="0" collapsed="false">
      <c r="A177" s="26" t="s">
        <v>280</v>
      </c>
      <c r="B177" s="26" t="s">
        <v>36</v>
      </c>
      <c r="C177" s="27" t="n">
        <v>45463</v>
      </c>
      <c r="D177" s="26" t="s">
        <v>53</v>
      </c>
      <c r="E177" s="26" t="s">
        <v>119</v>
      </c>
      <c r="F177" s="26" t="n">
        <v>3798</v>
      </c>
      <c r="G177" s="26" t="n">
        <v>31</v>
      </c>
      <c r="H177" s="26" t="n">
        <v>279</v>
      </c>
      <c r="I177" s="26" t="n">
        <v>75960</v>
      </c>
      <c r="J177" s="26" t="n">
        <v>75813</v>
      </c>
      <c r="K177" s="26" t="n">
        <v>266</v>
      </c>
      <c r="L177" s="26" t="s">
        <v>61</v>
      </c>
      <c r="M177" s="26"/>
      <c r="N177" s="26" t="s">
        <v>100</v>
      </c>
      <c r="O177" s="26" t="n">
        <f aca="false">F177+G177+H177</f>
        <v>4108</v>
      </c>
      <c r="P177" s="28" t="n">
        <f aca="false">IFERROR(O177/I177,0)</f>
        <v>0.0540810953133228</v>
      </c>
    </row>
    <row r="178" customFormat="false" ht="15" hidden="false" customHeight="false" outlineLevel="0" collapsed="false">
      <c r="A178" s="26" t="s">
        <v>281</v>
      </c>
      <c r="B178" s="26" t="s">
        <v>37</v>
      </c>
      <c r="C178" s="27" t="n">
        <v>45483</v>
      </c>
      <c r="D178" s="26" t="s">
        <v>48</v>
      </c>
      <c r="E178" s="26" t="s">
        <v>107</v>
      </c>
      <c r="F178" s="26" t="n">
        <v>3099</v>
      </c>
      <c r="G178" s="26" t="n">
        <v>694</v>
      </c>
      <c r="H178" s="26" t="n">
        <v>171</v>
      </c>
      <c r="I178" s="26" t="n">
        <v>43386</v>
      </c>
      <c r="J178" s="26" t="n">
        <v>42921</v>
      </c>
      <c r="K178" s="26" t="n">
        <v>52</v>
      </c>
      <c r="L178" s="26" t="s">
        <v>60</v>
      </c>
      <c r="M178" s="26"/>
      <c r="N178" s="26" t="s">
        <v>113</v>
      </c>
      <c r="O178" s="26" t="n">
        <f aca="false">F178+G178+H178</f>
        <v>3964</v>
      </c>
      <c r="P178" s="28" t="n">
        <f aca="false">IFERROR(O178/I178,0)</f>
        <v>0.091365878393952</v>
      </c>
    </row>
    <row r="179" customFormat="false" ht="15" hidden="false" customHeight="false" outlineLevel="0" collapsed="false">
      <c r="A179" s="26" t="s">
        <v>282</v>
      </c>
      <c r="B179" s="26" t="s">
        <v>37</v>
      </c>
      <c r="C179" s="27" t="n">
        <v>45603</v>
      </c>
      <c r="D179" s="26" t="s">
        <v>53</v>
      </c>
      <c r="E179" s="26" t="s">
        <v>119</v>
      </c>
      <c r="F179" s="26" t="n">
        <v>129</v>
      </c>
      <c r="G179" s="26" t="n">
        <v>643</v>
      </c>
      <c r="H179" s="26" t="n">
        <v>136</v>
      </c>
      <c r="I179" s="26" t="n">
        <v>1290</v>
      </c>
      <c r="J179" s="26" t="n">
        <v>839</v>
      </c>
      <c r="K179" s="26" t="n">
        <v>238</v>
      </c>
      <c r="L179" s="26" t="s">
        <v>64</v>
      </c>
      <c r="M179" s="26" t="s">
        <v>60</v>
      </c>
      <c r="N179" s="26" t="s">
        <v>113</v>
      </c>
      <c r="O179" s="26" t="n">
        <f aca="false">F179+G179+H179</f>
        <v>908</v>
      </c>
      <c r="P179" s="28" t="n">
        <f aca="false">IFERROR(O179/I179,0)</f>
        <v>0.703875968992248</v>
      </c>
    </row>
    <row r="180" customFormat="false" ht="15" hidden="false" customHeight="false" outlineLevel="0" collapsed="false">
      <c r="A180" s="26" t="s">
        <v>283</v>
      </c>
      <c r="B180" s="26" t="s">
        <v>36</v>
      </c>
      <c r="C180" s="27" t="n">
        <v>45488</v>
      </c>
      <c r="D180" s="26" t="s">
        <v>48</v>
      </c>
      <c r="E180" s="26" t="s">
        <v>107</v>
      </c>
      <c r="F180" s="26" t="n">
        <v>3796</v>
      </c>
      <c r="G180" s="26" t="n">
        <v>667</v>
      </c>
      <c r="H180" s="26" t="n">
        <v>395</v>
      </c>
      <c r="I180" s="26" t="n">
        <v>64532</v>
      </c>
      <c r="J180" s="26" t="n">
        <v>63550</v>
      </c>
      <c r="K180" s="26" t="n">
        <v>292</v>
      </c>
      <c r="L180" s="26" t="s">
        <v>64</v>
      </c>
      <c r="M180" s="26"/>
      <c r="N180" s="26" t="s">
        <v>97</v>
      </c>
      <c r="O180" s="26" t="n">
        <f aca="false">F180+G180+H180</f>
        <v>4858</v>
      </c>
      <c r="P180" s="28" t="n">
        <f aca="false">IFERROR(O180/I180,0)</f>
        <v>0.0752804810016736</v>
      </c>
    </row>
    <row r="181" customFormat="false" ht="15" hidden="false" customHeight="false" outlineLevel="0" collapsed="false">
      <c r="A181" s="26" t="s">
        <v>284</v>
      </c>
      <c r="B181" s="26" t="s">
        <v>39</v>
      </c>
      <c r="C181" s="27" t="n">
        <v>45629</v>
      </c>
      <c r="D181" s="26" t="s">
        <v>52</v>
      </c>
      <c r="E181" s="26" t="s">
        <v>99</v>
      </c>
      <c r="F181" s="26" t="n">
        <v>3711</v>
      </c>
      <c r="G181" s="26" t="n">
        <v>352</v>
      </c>
      <c r="H181" s="26" t="n">
        <v>290</v>
      </c>
      <c r="I181" s="26" t="n">
        <v>48243</v>
      </c>
      <c r="J181" s="26" t="n">
        <v>47579</v>
      </c>
      <c r="K181" s="26" t="n">
        <v>11</v>
      </c>
      <c r="L181" s="26" t="s">
        <v>64</v>
      </c>
      <c r="M181" s="26" t="s">
        <v>60</v>
      </c>
      <c r="N181" s="26" t="s">
        <v>113</v>
      </c>
      <c r="O181" s="26" t="n">
        <f aca="false">F181+G181+H181</f>
        <v>4353</v>
      </c>
      <c r="P181" s="28" t="n">
        <f aca="false">IFERROR(O181/I181,0)</f>
        <v>0.0902307070455817</v>
      </c>
    </row>
    <row r="182" customFormat="false" ht="15" hidden="false" customHeight="false" outlineLevel="0" collapsed="false">
      <c r="A182" s="26" t="s">
        <v>285</v>
      </c>
      <c r="B182" s="26" t="s">
        <v>39</v>
      </c>
      <c r="C182" s="27" t="n">
        <v>45737</v>
      </c>
      <c r="D182" s="26" t="s">
        <v>49</v>
      </c>
      <c r="E182" s="26" t="s">
        <v>110</v>
      </c>
      <c r="F182" s="26" t="n">
        <v>606</v>
      </c>
      <c r="G182" s="26" t="n">
        <v>789</v>
      </c>
      <c r="H182" s="26" t="n">
        <v>470</v>
      </c>
      <c r="I182" s="26" t="n">
        <v>7878</v>
      </c>
      <c r="J182" s="26" t="n">
        <v>7389</v>
      </c>
      <c r="K182" s="26" t="n">
        <v>239</v>
      </c>
      <c r="L182" s="26" t="s">
        <v>62</v>
      </c>
      <c r="M182" s="26"/>
      <c r="N182" s="26" t="s">
        <v>100</v>
      </c>
      <c r="O182" s="26" t="n">
        <f aca="false">F182+G182+H182</f>
        <v>1865</v>
      </c>
      <c r="P182" s="28" t="n">
        <f aca="false">IFERROR(O182/I182,0)</f>
        <v>0.236735211982737</v>
      </c>
    </row>
    <row r="183" customFormat="false" ht="15" hidden="false" customHeight="false" outlineLevel="0" collapsed="false">
      <c r="A183" s="26" t="s">
        <v>286</v>
      </c>
      <c r="B183" s="26" t="s">
        <v>36</v>
      </c>
      <c r="C183" s="27" t="n">
        <v>45504</v>
      </c>
      <c r="D183" s="26" t="s">
        <v>49</v>
      </c>
      <c r="E183" s="26" t="s">
        <v>110</v>
      </c>
      <c r="F183" s="26" t="n">
        <v>4689</v>
      </c>
      <c r="G183" s="26" t="n">
        <v>134</v>
      </c>
      <c r="H183" s="26" t="n">
        <v>403</v>
      </c>
      <c r="I183" s="26" t="n">
        <v>51579</v>
      </c>
      <c r="J183" s="26" t="n">
        <v>50924</v>
      </c>
      <c r="K183" s="26" t="n">
        <v>173</v>
      </c>
      <c r="L183" s="26" t="s">
        <v>60</v>
      </c>
      <c r="M183" s="26"/>
      <c r="N183" s="26" t="s">
        <v>97</v>
      </c>
      <c r="O183" s="26" t="n">
        <f aca="false">F183+G183+H183</f>
        <v>5226</v>
      </c>
      <c r="P183" s="28" t="n">
        <f aca="false">IFERROR(O183/I183,0)</f>
        <v>0.101320304775199</v>
      </c>
    </row>
    <row r="184" customFormat="false" ht="15" hidden="false" customHeight="false" outlineLevel="0" collapsed="false">
      <c r="A184" s="26" t="s">
        <v>287</v>
      </c>
      <c r="B184" s="26" t="s">
        <v>37</v>
      </c>
      <c r="C184" s="27" t="n">
        <v>45643</v>
      </c>
      <c r="D184" s="26" t="s">
        <v>51</v>
      </c>
      <c r="E184" s="26" t="s">
        <v>103</v>
      </c>
      <c r="F184" s="26" t="n">
        <v>360</v>
      </c>
      <c r="G184" s="26" t="n">
        <v>590</v>
      </c>
      <c r="H184" s="26" t="n">
        <v>393</v>
      </c>
      <c r="I184" s="26" t="n">
        <v>4680</v>
      </c>
      <c r="J184" s="26" t="n">
        <v>4322</v>
      </c>
      <c r="K184" s="26" t="n">
        <v>208</v>
      </c>
      <c r="L184" s="26" t="s">
        <v>64</v>
      </c>
      <c r="M184" s="26" t="s">
        <v>60</v>
      </c>
      <c r="N184" s="26" t="s">
        <v>100</v>
      </c>
      <c r="O184" s="26" t="n">
        <f aca="false">F184+G184+H184</f>
        <v>1343</v>
      </c>
      <c r="P184" s="28" t="n">
        <f aca="false">IFERROR(O184/I184,0)</f>
        <v>0.286965811965812</v>
      </c>
    </row>
    <row r="185" customFormat="false" ht="15" hidden="false" customHeight="false" outlineLevel="0" collapsed="false">
      <c r="A185" s="26" t="s">
        <v>288</v>
      </c>
      <c r="B185" s="26" t="s">
        <v>38</v>
      </c>
      <c r="C185" s="27" t="n">
        <v>45501</v>
      </c>
      <c r="D185" s="26" t="s">
        <v>49</v>
      </c>
      <c r="E185" s="26" t="s">
        <v>110</v>
      </c>
      <c r="F185" s="26" t="n">
        <v>3215</v>
      </c>
      <c r="G185" s="26" t="n">
        <v>960</v>
      </c>
      <c r="H185" s="26" t="n">
        <v>202</v>
      </c>
      <c r="I185" s="26" t="n">
        <v>32150</v>
      </c>
      <c r="J185" s="26" t="n">
        <v>31404</v>
      </c>
      <c r="K185" s="26" t="n">
        <v>251</v>
      </c>
      <c r="L185" s="26" t="s">
        <v>64</v>
      </c>
      <c r="M185" s="26"/>
      <c r="N185" s="26" t="s">
        <v>105</v>
      </c>
      <c r="O185" s="26" t="n">
        <f aca="false">F185+G185+H185</f>
        <v>4377</v>
      </c>
      <c r="P185" s="28" t="n">
        <f aca="false">IFERROR(O185/I185,0)</f>
        <v>0.136143079315708</v>
      </c>
    </row>
    <row r="186" customFormat="false" ht="15" hidden="false" customHeight="false" outlineLevel="0" collapsed="false">
      <c r="A186" s="26" t="s">
        <v>289</v>
      </c>
      <c r="B186" s="26" t="s">
        <v>37</v>
      </c>
      <c r="C186" s="27" t="n">
        <v>45668</v>
      </c>
      <c r="D186" s="26" t="s">
        <v>48</v>
      </c>
      <c r="E186" s="26" t="s">
        <v>107</v>
      </c>
      <c r="F186" s="26" t="n">
        <v>4523</v>
      </c>
      <c r="G186" s="26" t="n">
        <v>61</v>
      </c>
      <c r="H186" s="26" t="n">
        <v>157</v>
      </c>
      <c r="I186" s="26" t="n">
        <v>49753</v>
      </c>
      <c r="J186" s="26" t="n">
        <v>49329</v>
      </c>
      <c r="K186" s="26" t="n">
        <v>71</v>
      </c>
      <c r="L186" s="26" t="s">
        <v>62</v>
      </c>
      <c r="M186" s="26" t="s">
        <v>63</v>
      </c>
      <c r="N186" s="26" t="s">
        <v>113</v>
      </c>
      <c r="O186" s="26" t="n">
        <f aca="false">F186+G186+H186</f>
        <v>4741</v>
      </c>
      <c r="P186" s="28" t="n">
        <f aca="false">IFERROR(O186/I186,0)</f>
        <v>0.0952907362370108</v>
      </c>
    </row>
    <row r="187" customFormat="false" ht="15" hidden="false" customHeight="false" outlineLevel="0" collapsed="false">
      <c r="A187" s="26" t="s">
        <v>290</v>
      </c>
      <c r="B187" s="26" t="s">
        <v>36</v>
      </c>
      <c r="C187" s="27" t="n">
        <v>45528</v>
      </c>
      <c r="D187" s="26" t="s">
        <v>48</v>
      </c>
      <c r="E187" s="26" t="s">
        <v>107</v>
      </c>
      <c r="F187" s="26" t="n">
        <v>4292</v>
      </c>
      <c r="G187" s="26" t="n">
        <v>51</v>
      </c>
      <c r="H187" s="26" t="n">
        <v>392</v>
      </c>
      <c r="I187" s="26" t="n">
        <v>55796</v>
      </c>
      <c r="J187" s="26" t="n">
        <v>54826</v>
      </c>
      <c r="K187" s="26" t="n">
        <v>264</v>
      </c>
      <c r="L187" s="26" t="s">
        <v>63</v>
      </c>
      <c r="M187" s="26" t="s">
        <v>64</v>
      </c>
      <c r="N187" s="26" t="s">
        <v>97</v>
      </c>
      <c r="O187" s="26" t="n">
        <f aca="false">F187+G187+H187</f>
        <v>4735</v>
      </c>
      <c r="P187" s="28" t="n">
        <f aca="false">IFERROR(O187/I187,0)</f>
        <v>0.084862714173059</v>
      </c>
    </row>
    <row r="188" customFormat="false" ht="15" hidden="false" customHeight="false" outlineLevel="0" collapsed="false">
      <c r="A188" s="26" t="s">
        <v>291</v>
      </c>
      <c r="B188" s="26" t="s">
        <v>38</v>
      </c>
      <c r="C188" s="27" t="n">
        <v>45648</v>
      </c>
      <c r="D188" s="26" t="s">
        <v>50</v>
      </c>
      <c r="E188" s="26" t="s">
        <v>96</v>
      </c>
      <c r="F188" s="26" t="n">
        <v>1644</v>
      </c>
      <c r="G188" s="26" t="n">
        <v>546</v>
      </c>
      <c r="H188" s="26" t="n">
        <v>150</v>
      </c>
      <c r="I188" s="26" t="n">
        <v>27948</v>
      </c>
      <c r="J188" s="26" t="n">
        <v>27184</v>
      </c>
      <c r="K188" s="26" t="n">
        <v>300</v>
      </c>
      <c r="L188" s="26" t="s">
        <v>62</v>
      </c>
      <c r="M188" s="26" t="s">
        <v>63</v>
      </c>
      <c r="N188" s="26" t="s">
        <v>97</v>
      </c>
      <c r="O188" s="26" t="n">
        <f aca="false">F188+G188+H188</f>
        <v>2340</v>
      </c>
      <c r="P188" s="28" t="n">
        <f aca="false">IFERROR(O188/I188,0)</f>
        <v>0.0837269214255045</v>
      </c>
    </row>
    <row r="189" customFormat="false" ht="15" hidden="false" customHeight="false" outlineLevel="0" collapsed="false">
      <c r="A189" s="26" t="s">
        <v>292</v>
      </c>
      <c r="B189" s="26" t="s">
        <v>39</v>
      </c>
      <c r="C189" s="27" t="n">
        <v>45449</v>
      </c>
      <c r="D189" s="26" t="s">
        <v>50</v>
      </c>
      <c r="E189" s="26" t="s">
        <v>96</v>
      </c>
      <c r="F189" s="26" t="n">
        <v>2728</v>
      </c>
      <c r="G189" s="26" t="n">
        <v>533</v>
      </c>
      <c r="H189" s="26" t="n">
        <v>215</v>
      </c>
      <c r="I189" s="26" t="n">
        <v>40920</v>
      </c>
      <c r="J189" s="26" t="n">
        <v>40816</v>
      </c>
      <c r="K189" s="26" t="n">
        <v>137</v>
      </c>
      <c r="L189" s="26" t="s">
        <v>62</v>
      </c>
      <c r="M189" s="26"/>
      <c r="N189" s="26" t="s">
        <v>100</v>
      </c>
      <c r="O189" s="26" t="n">
        <f aca="false">F189+G189+H189</f>
        <v>3476</v>
      </c>
      <c r="P189" s="28" t="n">
        <f aca="false">IFERROR(O189/I189,0)</f>
        <v>0.0849462365591398</v>
      </c>
    </row>
    <row r="190" customFormat="false" ht="15" hidden="false" customHeight="false" outlineLevel="0" collapsed="false">
      <c r="A190" s="26" t="s">
        <v>293</v>
      </c>
      <c r="B190" s="26" t="s">
        <v>36</v>
      </c>
      <c r="C190" s="27" t="n">
        <v>45740</v>
      </c>
      <c r="D190" s="26" t="s">
        <v>50</v>
      </c>
      <c r="E190" s="26" t="s">
        <v>96</v>
      </c>
      <c r="F190" s="26" t="n">
        <v>3360</v>
      </c>
      <c r="G190" s="26" t="n">
        <v>525</v>
      </c>
      <c r="H190" s="26" t="n">
        <v>500</v>
      </c>
      <c r="I190" s="26" t="n">
        <v>60480</v>
      </c>
      <c r="J190" s="26" t="n">
        <v>59610</v>
      </c>
      <c r="K190" s="26" t="n">
        <v>192</v>
      </c>
      <c r="L190" s="26" t="s">
        <v>62</v>
      </c>
      <c r="M190" s="26" t="s">
        <v>64</v>
      </c>
      <c r="N190" s="26" t="s">
        <v>97</v>
      </c>
      <c r="O190" s="26" t="n">
        <f aca="false">F190+G190+H190</f>
        <v>4385</v>
      </c>
      <c r="P190" s="28" t="n">
        <f aca="false">IFERROR(O190/I190,0)</f>
        <v>0.0725033068783069</v>
      </c>
    </row>
    <row r="191" customFormat="false" ht="15" hidden="false" customHeight="false" outlineLevel="0" collapsed="false">
      <c r="A191" s="26" t="s">
        <v>294</v>
      </c>
      <c r="B191" s="26" t="s">
        <v>39</v>
      </c>
      <c r="C191" s="27" t="n">
        <v>45569</v>
      </c>
      <c r="D191" s="26" t="s">
        <v>52</v>
      </c>
      <c r="E191" s="26" t="s">
        <v>99</v>
      </c>
      <c r="F191" s="26" t="n">
        <v>1963</v>
      </c>
      <c r="G191" s="26" t="n">
        <v>213</v>
      </c>
      <c r="H191" s="26" t="n">
        <v>19</v>
      </c>
      <c r="I191" s="26" t="n">
        <v>39260</v>
      </c>
      <c r="J191" s="26" t="n">
        <v>38771</v>
      </c>
      <c r="K191" s="26" t="n">
        <v>145</v>
      </c>
      <c r="L191" s="26" t="s">
        <v>64</v>
      </c>
      <c r="M191" s="26"/>
      <c r="N191" s="26" t="s">
        <v>97</v>
      </c>
      <c r="O191" s="26" t="n">
        <f aca="false">F191+G191+H191</f>
        <v>2195</v>
      </c>
      <c r="P191" s="28" t="n">
        <f aca="false">IFERROR(O191/I191,0)</f>
        <v>0.0559093224656139</v>
      </c>
    </row>
    <row r="192" customFormat="false" ht="15" hidden="false" customHeight="false" outlineLevel="0" collapsed="false">
      <c r="A192" s="26" t="s">
        <v>295</v>
      </c>
      <c r="B192" s="26" t="s">
        <v>39</v>
      </c>
      <c r="C192" s="27" t="n">
        <v>45629</v>
      </c>
      <c r="D192" s="26" t="s">
        <v>51</v>
      </c>
      <c r="E192" s="26" t="s">
        <v>103</v>
      </c>
      <c r="F192" s="26" t="n">
        <v>4285</v>
      </c>
      <c r="G192" s="26" t="n">
        <v>886</v>
      </c>
      <c r="H192" s="26" t="n">
        <v>376</v>
      </c>
      <c r="I192" s="26" t="n">
        <v>55705</v>
      </c>
      <c r="J192" s="26" t="n">
        <v>55556</v>
      </c>
      <c r="K192" s="26" t="n">
        <v>51</v>
      </c>
      <c r="L192" s="26" t="s">
        <v>61</v>
      </c>
      <c r="M192" s="26" t="s">
        <v>60</v>
      </c>
      <c r="N192" s="26" t="s">
        <v>113</v>
      </c>
      <c r="O192" s="26" t="n">
        <f aca="false">F192+G192+H192</f>
        <v>5547</v>
      </c>
      <c r="P192" s="28" t="n">
        <f aca="false">IFERROR(O192/I192,0)</f>
        <v>0.0995781348173414</v>
      </c>
    </row>
    <row r="193" customFormat="false" ht="15" hidden="false" customHeight="false" outlineLevel="0" collapsed="false">
      <c r="A193" s="26" t="s">
        <v>296</v>
      </c>
      <c r="B193" s="26" t="s">
        <v>37</v>
      </c>
      <c r="C193" s="27" t="n">
        <v>45625</v>
      </c>
      <c r="D193" s="26" t="s">
        <v>53</v>
      </c>
      <c r="E193" s="26" t="s">
        <v>119</v>
      </c>
      <c r="F193" s="26" t="n">
        <v>1176</v>
      </c>
      <c r="G193" s="26" t="n">
        <v>464</v>
      </c>
      <c r="H193" s="26" t="n">
        <v>394</v>
      </c>
      <c r="I193" s="26" t="n">
        <v>14112</v>
      </c>
      <c r="J193" s="26" t="n">
        <v>13588</v>
      </c>
      <c r="K193" s="26" t="n">
        <v>272</v>
      </c>
      <c r="L193" s="26" t="s">
        <v>60</v>
      </c>
      <c r="M193" s="26"/>
      <c r="N193" s="26" t="s">
        <v>97</v>
      </c>
      <c r="O193" s="26" t="n">
        <f aca="false">F193+G193+H193</f>
        <v>2034</v>
      </c>
      <c r="P193" s="28" t="n">
        <f aca="false">IFERROR(O193/I193,0)</f>
        <v>0.144132653061225</v>
      </c>
    </row>
    <row r="194" customFormat="false" ht="15" hidden="false" customHeight="false" outlineLevel="0" collapsed="false">
      <c r="A194" s="26" t="s">
        <v>297</v>
      </c>
      <c r="B194" s="26" t="s">
        <v>38</v>
      </c>
      <c r="C194" s="27" t="n">
        <v>45546</v>
      </c>
      <c r="D194" s="26" t="s">
        <v>49</v>
      </c>
      <c r="E194" s="26" t="s">
        <v>110</v>
      </c>
      <c r="F194" s="26" t="n">
        <v>4858</v>
      </c>
      <c r="G194" s="26" t="n">
        <v>317</v>
      </c>
      <c r="H194" s="26" t="n">
        <v>129</v>
      </c>
      <c r="I194" s="26" t="n">
        <v>53438</v>
      </c>
      <c r="J194" s="26" t="n">
        <v>52687</v>
      </c>
      <c r="K194" s="26" t="n">
        <v>223</v>
      </c>
      <c r="L194" s="26" t="s">
        <v>60</v>
      </c>
      <c r="M194" s="26" t="s">
        <v>63</v>
      </c>
      <c r="N194" s="26" t="s">
        <v>97</v>
      </c>
      <c r="O194" s="26" t="n">
        <f aca="false">F194+G194+H194</f>
        <v>5304</v>
      </c>
      <c r="P194" s="28" t="n">
        <f aca="false">IFERROR(O194/I194,0)</f>
        <v>0.0992552116471425</v>
      </c>
    </row>
    <row r="195" customFormat="false" ht="15" hidden="false" customHeight="false" outlineLevel="0" collapsed="false">
      <c r="A195" s="26" t="s">
        <v>298</v>
      </c>
      <c r="B195" s="26" t="s">
        <v>39</v>
      </c>
      <c r="C195" s="27" t="n">
        <v>45567</v>
      </c>
      <c r="D195" s="26" t="s">
        <v>51</v>
      </c>
      <c r="E195" s="26" t="s">
        <v>103</v>
      </c>
      <c r="F195" s="26" t="n">
        <v>4350</v>
      </c>
      <c r="G195" s="26" t="n">
        <v>771</v>
      </c>
      <c r="H195" s="26" t="n">
        <v>7</v>
      </c>
      <c r="I195" s="26" t="n">
        <v>60900</v>
      </c>
      <c r="J195" s="26" t="n">
        <v>60592</v>
      </c>
      <c r="K195" s="26" t="n">
        <v>195</v>
      </c>
      <c r="L195" s="26" t="s">
        <v>60</v>
      </c>
      <c r="M195" s="26" t="s">
        <v>64</v>
      </c>
      <c r="N195" s="26" t="s">
        <v>100</v>
      </c>
      <c r="O195" s="26" t="n">
        <f aca="false">F195+G195+H195</f>
        <v>5128</v>
      </c>
      <c r="P195" s="28" t="n">
        <f aca="false">IFERROR(O195/I195,0)</f>
        <v>0.0842036124794746</v>
      </c>
    </row>
    <row r="196" customFormat="false" ht="15" hidden="false" customHeight="false" outlineLevel="0" collapsed="false">
      <c r="A196" s="26" t="s">
        <v>299</v>
      </c>
      <c r="B196" s="26" t="s">
        <v>37</v>
      </c>
      <c r="C196" s="27" t="n">
        <v>45519</v>
      </c>
      <c r="D196" s="26" t="s">
        <v>48</v>
      </c>
      <c r="E196" s="26" t="s">
        <v>107</v>
      </c>
      <c r="F196" s="26" t="n">
        <v>914</v>
      </c>
      <c r="G196" s="26" t="n">
        <v>464</v>
      </c>
      <c r="H196" s="26" t="n">
        <v>246</v>
      </c>
      <c r="I196" s="26" t="n">
        <v>11882</v>
      </c>
      <c r="J196" s="26" t="n">
        <v>11500</v>
      </c>
      <c r="K196" s="26" t="n">
        <v>282</v>
      </c>
      <c r="L196" s="26" t="s">
        <v>61</v>
      </c>
      <c r="M196" s="26" t="s">
        <v>63</v>
      </c>
      <c r="N196" s="26" t="s">
        <v>105</v>
      </c>
      <c r="O196" s="26" t="n">
        <f aca="false">F196+G196+H196</f>
        <v>1624</v>
      </c>
      <c r="P196" s="28" t="n">
        <f aca="false">IFERROR(O196/I196,0)</f>
        <v>0.136677327049318</v>
      </c>
    </row>
    <row r="197" customFormat="false" ht="15" hidden="false" customHeight="false" outlineLevel="0" collapsed="false">
      <c r="A197" s="26" t="s">
        <v>300</v>
      </c>
      <c r="B197" s="26" t="s">
        <v>37</v>
      </c>
      <c r="C197" s="27" t="n">
        <v>45645</v>
      </c>
      <c r="D197" s="26" t="s">
        <v>52</v>
      </c>
      <c r="E197" s="26" t="s">
        <v>99</v>
      </c>
      <c r="F197" s="26" t="n">
        <v>1813</v>
      </c>
      <c r="G197" s="26" t="n">
        <v>623</v>
      </c>
      <c r="H197" s="26" t="n">
        <v>72</v>
      </c>
      <c r="I197" s="26" t="n">
        <v>19943</v>
      </c>
      <c r="J197" s="26" t="n">
        <v>18959</v>
      </c>
      <c r="K197" s="26" t="n">
        <v>85</v>
      </c>
      <c r="L197" s="26" t="s">
        <v>63</v>
      </c>
      <c r="M197" s="26" t="s">
        <v>61</v>
      </c>
      <c r="N197" s="26" t="s">
        <v>105</v>
      </c>
      <c r="O197" s="26" t="n">
        <f aca="false">F197+G197+H197</f>
        <v>2508</v>
      </c>
      <c r="P197" s="28" t="n">
        <f aca="false">IFERROR(O197/I197,0)</f>
        <v>0.125758411472697</v>
      </c>
    </row>
    <row r="198" customFormat="false" ht="15" hidden="false" customHeight="false" outlineLevel="0" collapsed="false">
      <c r="A198" s="26" t="s">
        <v>301</v>
      </c>
      <c r="B198" s="26" t="s">
        <v>38</v>
      </c>
      <c r="C198" s="27" t="n">
        <v>45587</v>
      </c>
      <c r="D198" s="26" t="s">
        <v>50</v>
      </c>
      <c r="E198" s="26" t="s">
        <v>96</v>
      </c>
      <c r="F198" s="26" t="n">
        <v>4782</v>
      </c>
      <c r="G198" s="26" t="n">
        <v>721</v>
      </c>
      <c r="H198" s="26" t="n">
        <v>82</v>
      </c>
      <c r="I198" s="26" t="n">
        <v>86076</v>
      </c>
      <c r="J198" s="26" t="n">
        <v>85339</v>
      </c>
      <c r="K198" s="26" t="n">
        <v>19</v>
      </c>
      <c r="L198" s="26" t="s">
        <v>60</v>
      </c>
      <c r="M198" s="26"/>
      <c r="N198" s="26" t="s">
        <v>100</v>
      </c>
      <c r="O198" s="26" t="n">
        <f aca="false">F198+G198+H198</f>
        <v>5585</v>
      </c>
      <c r="P198" s="28" t="n">
        <f aca="false">IFERROR(O198/I198,0)</f>
        <v>0.0648845206561643</v>
      </c>
    </row>
    <row r="199" customFormat="false" ht="15" hidden="false" customHeight="false" outlineLevel="0" collapsed="false">
      <c r="A199" s="26" t="s">
        <v>302</v>
      </c>
      <c r="B199" s="26" t="s">
        <v>38</v>
      </c>
      <c r="C199" s="27" t="n">
        <v>45549</v>
      </c>
      <c r="D199" s="26" t="s">
        <v>49</v>
      </c>
      <c r="E199" s="26" t="s">
        <v>110</v>
      </c>
      <c r="F199" s="26" t="n">
        <v>1048</v>
      </c>
      <c r="G199" s="26" t="n">
        <v>374</v>
      </c>
      <c r="H199" s="26" t="n">
        <v>450</v>
      </c>
      <c r="I199" s="26" t="n">
        <v>9432</v>
      </c>
      <c r="J199" s="26" t="n">
        <v>8882</v>
      </c>
      <c r="K199" s="26" t="n">
        <v>158</v>
      </c>
      <c r="L199" s="26" t="s">
        <v>63</v>
      </c>
      <c r="M199" s="26" t="s">
        <v>62</v>
      </c>
      <c r="N199" s="26" t="s">
        <v>100</v>
      </c>
      <c r="O199" s="26" t="n">
        <f aca="false">F199+G199+H199</f>
        <v>1872</v>
      </c>
      <c r="P199" s="28" t="n">
        <f aca="false">IFERROR(O199/I199,0)</f>
        <v>0.198473282442748</v>
      </c>
    </row>
    <row r="200" customFormat="false" ht="15" hidden="false" customHeight="false" outlineLevel="0" collapsed="false">
      <c r="A200" s="26" t="s">
        <v>303</v>
      </c>
      <c r="B200" s="26" t="s">
        <v>39</v>
      </c>
      <c r="C200" s="27" t="n">
        <v>45626</v>
      </c>
      <c r="D200" s="26" t="s">
        <v>48</v>
      </c>
      <c r="E200" s="26" t="s">
        <v>107</v>
      </c>
      <c r="F200" s="26" t="n">
        <v>2509</v>
      </c>
      <c r="G200" s="26" t="n">
        <v>324</v>
      </c>
      <c r="H200" s="26" t="n">
        <v>171</v>
      </c>
      <c r="I200" s="26" t="n">
        <v>35126</v>
      </c>
      <c r="J200" s="26" t="n">
        <v>34685</v>
      </c>
      <c r="K200" s="26" t="n">
        <v>277</v>
      </c>
      <c r="L200" s="26" t="s">
        <v>60</v>
      </c>
      <c r="M200" s="26"/>
      <c r="N200" s="26" t="s">
        <v>100</v>
      </c>
      <c r="O200" s="26" t="n">
        <f aca="false">F200+G200+H200</f>
        <v>3004</v>
      </c>
      <c r="P200" s="28" t="n">
        <f aca="false">IFERROR(O200/I200,0)</f>
        <v>0.0855206969196607</v>
      </c>
    </row>
    <row r="201" customFormat="false" ht="15" hidden="false" customHeight="false" outlineLevel="0" collapsed="false">
      <c r="A201" s="26" t="s">
        <v>304</v>
      </c>
      <c r="B201" s="26" t="s">
        <v>36</v>
      </c>
      <c r="C201" s="27" t="n">
        <v>45754</v>
      </c>
      <c r="D201" s="26" t="s">
        <v>50</v>
      </c>
      <c r="E201" s="26" t="s">
        <v>96</v>
      </c>
      <c r="F201" s="26" t="n">
        <v>3718</v>
      </c>
      <c r="G201" s="26" t="n">
        <v>385</v>
      </c>
      <c r="H201" s="26" t="n">
        <v>310</v>
      </c>
      <c r="I201" s="26" t="n">
        <v>70642</v>
      </c>
      <c r="J201" s="26" t="n">
        <v>69749</v>
      </c>
      <c r="K201" s="26" t="n">
        <v>233</v>
      </c>
      <c r="L201" s="26" t="s">
        <v>63</v>
      </c>
      <c r="M201" s="26"/>
      <c r="N201" s="26" t="s">
        <v>97</v>
      </c>
      <c r="O201" s="26" t="n">
        <f aca="false">F201+G201+H201</f>
        <v>4413</v>
      </c>
      <c r="P201" s="28" t="n">
        <f aca="false">IFERROR(O201/I201,0)</f>
        <v>0.0624699187452224</v>
      </c>
    </row>
    <row r="202" customFormat="false" ht="15" hidden="false" customHeight="false" outlineLevel="0" collapsed="false">
      <c r="A202" s="26" t="s">
        <v>305</v>
      </c>
      <c r="B202" s="26" t="s">
        <v>38</v>
      </c>
      <c r="C202" s="27" t="n">
        <v>45672</v>
      </c>
      <c r="D202" s="26" t="s">
        <v>50</v>
      </c>
      <c r="E202" s="26" t="s">
        <v>96</v>
      </c>
      <c r="F202" s="26" t="n">
        <v>802</v>
      </c>
      <c r="G202" s="26" t="n">
        <v>262</v>
      </c>
      <c r="H202" s="26" t="n">
        <v>244</v>
      </c>
      <c r="I202" s="26" t="n">
        <v>14436</v>
      </c>
      <c r="J202" s="26" t="n">
        <v>14280</v>
      </c>
      <c r="K202" s="26" t="n">
        <v>49</v>
      </c>
      <c r="L202" s="26" t="s">
        <v>62</v>
      </c>
      <c r="M202" s="26" t="s">
        <v>60</v>
      </c>
      <c r="N202" s="26" t="s">
        <v>113</v>
      </c>
      <c r="O202" s="26" t="n">
        <f aca="false">F202+G202+H202</f>
        <v>1308</v>
      </c>
      <c r="P202" s="28" t="n">
        <f aca="false">IFERROR(O202/I202,0)</f>
        <v>0.0906068162926018</v>
      </c>
    </row>
    <row r="203" customFormat="false" ht="15" hidden="false" customHeight="false" outlineLevel="0" collapsed="false">
      <c r="A203" s="26" t="s">
        <v>306</v>
      </c>
      <c r="B203" s="26" t="s">
        <v>36</v>
      </c>
      <c r="C203" s="27" t="n">
        <v>45445</v>
      </c>
      <c r="D203" s="26" t="s">
        <v>49</v>
      </c>
      <c r="E203" s="26" t="s">
        <v>110</v>
      </c>
      <c r="F203" s="26" t="n">
        <v>1871</v>
      </c>
      <c r="G203" s="26" t="n">
        <v>252</v>
      </c>
      <c r="H203" s="26" t="n">
        <v>335</v>
      </c>
      <c r="I203" s="26" t="n">
        <v>29936</v>
      </c>
      <c r="J203" s="26" t="n">
        <v>29576</v>
      </c>
      <c r="K203" s="26" t="n">
        <v>288</v>
      </c>
      <c r="L203" s="26" t="s">
        <v>63</v>
      </c>
      <c r="M203" s="26"/>
      <c r="N203" s="26" t="s">
        <v>100</v>
      </c>
      <c r="O203" s="26" t="n">
        <f aca="false">F203+G203+H203</f>
        <v>2458</v>
      </c>
      <c r="P203" s="28" t="n">
        <f aca="false">IFERROR(O203/I203,0)</f>
        <v>0.0821084981293426</v>
      </c>
    </row>
    <row r="204" customFormat="false" ht="15" hidden="false" customHeight="false" outlineLevel="0" collapsed="false">
      <c r="A204" s="26" t="s">
        <v>307</v>
      </c>
      <c r="B204" s="26" t="s">
        <v>37</v>
      </c>
      <c r="C204" s="27" t="n">
        <v>45617</v>
      </c>
      <c r="D204" s="26" t="s">
        <v>48</v>
      </c>
      <c r="E204" s="26" t="s">
        <v>107</v>
      </c>
      <c r="F204" s="26" t="n">
        <v>3773</v>
      </c>
      <c r="G204" s="26" t="n">
        <v>299</v>
      </c>
      <c r="H204" s="26" t="n">
        <v>38</v>
      </c>
      <c r="I204" s="26" t="n">
        <v>71687</v>
      </c>
      <c r="J204" s="26" t="n">
        <v>71447</v>
      </c>
      <c r="K204" s="26" t="n">
        <v>286</v>
      </c>
      <c r="L204" s="26" t="s">
        <v>63</v>
      </c>
      <c r="M204" s="26"/>
      <c r="N204" s="26" t="s">
        <v>113</v>
      </c>
      <c r="O204" s="26" t="n">
        <f aca="false">F204+G204+H204</f>
        <v>4110</v>
      </c>
      <c r="P204" s="28" t="n">
        <f aca="false">IFERROR(O204/I204,0)</f>
        <v>0.057332570758994</v>
      </c>
    </row>
    <row r="205" customFormat="false" ht="15" hidden="false" customHeight="false" outlineLevel="0" collapsed="false">
      <c r="A205" s="26" t="s">
        <v>308</v>
      </c>
      <c r="B205" s="26" t="s">
        <v>37</v>
      </c>
      <c r="C205" s="27" t="n">
        <v>45658</v>
      </c>
      <c r="D205" s="26" t="s">
        <v>48</v>
      </c>
      <c r="E205" s="26" t="s">
        <v>107</v>
      </c>
      <c r="F205" s="26" t="n">
        <v>2234</v>
      </c>
      <c r="G205" s="26" t="n">
        <v>653</v>
      </c>
      <c r="H205" s="26" t="n">
        <v>432</v>
      </c>
      <c r="I205" s="26" t="n">
        <v>11170</v>
      </c>
      <c r="J205" s="26" t="n">
        <v>10569</v>
      </c>
      <c r="K205" s="26" t="n">
        <v>198</v>
      </c>
      <c r="L205" s="26" t="s">
        <v>60</v>
      </c>
      <c r="M205" s="26" t="s">
        <v>64</v>
      </c>
      <c r="N205" s="26" t="s">
        <v>113</v>
      </c>
      <c r="O205" s="26" t="n">
        <f aca="false">F205+G205+H205</f>
        <v>3319</v>
      </c>
      <c r="P205" s="28" t="n">
        <f aca="false">IFERROR(O205/I205,0)</f>
        <v>0.297135183527305</v>
      </c>
    </row>
    <row r="206" customFormat="false" ht="15" hidden="false" customHeight="false" outlineLevel="0" collapsed="false">
      <c r="A206" s="26" t="s">
        <v>309</v>
      </c>
      <c r="B206" s="26" t="s">
        <v>38</v>
      </c>
      <c r="C206" s="27" t="n">
        <v>45771</v>
      </c>
      <c r="D206" s="26" t="s">
        <v>53</v>
      </c>
      <c r="E206" s="26" t="s">
        <v>119</v>
      </c>
      <c r="F206" s="26" t="n">
        <v>3820</v>
      </c>
      <c r="G206" s="26" t="n">
        <v>697</v>
      </c>
      <c r="H206" s="26" t="n">
        <v>268</v>
      </c>
      <c r="I206" s="26" t="n">
        <v>45840</v>
      </c>
      <c r="J206" s="26" t="n">
        <v>45631</v>
      </c>
      <c r="K206" s="26" t="n">
        <v>171</v>
      </c>
      <c r="L206" s="26" t="s">
        <v>64</v>
      </c>
      <c r="M206" s="26" t="s">
        <v>60</v>
      </c>
      <c r="N206" s="26" t="s">
        <v>97</v>
      </c>
      <c r="O206" s="26" t="n">
        <f aca="false">F206+G206+H206</f>
        <v>4785</v>
      </c>
      <c r="P206" s="28" t="n">
        <f aca="false">IFERROR(O206/I206,0)</f>
        <v>0.104384816753927</v>
      </c>
    </row>
    <row r="207" customFormat="false" ht="15" hidden="false" customHeight="false" outlineLevel="0" collapsed="false">
      <c r="A207" s="26" t="s">
        <v>310</v>
      </c>
      <c r="B207" s="26" t="s">
        <v>38</v>
      </c>
      <c r="C207" s="27" t="n">
        <v>45467</v>
      </c>
      <c r="D207" s="26" t="s">
        <v>52</v>
      </c>
      <c r="E207" s="26" t="s">
        <v>99</v>
      </c>
      <c r="F207" s="26" t="n">
        <v>941</v>
      </c>
      <c r="G207" s="26" t="n">
        <v>121</v>
      </c>
      <c r="H207" s="26" t="n">
        <v>458</v>
      </c>
      <c r="I207" s="26" t="n">
        <v>14115</v>
      </c>
      <c r="J207" s="26" t="n">
        <v>13838</v>
      </c>
      <c r="K207" s="26" t="n">
        <v>87</v>
      </c>
      <c r="L207" s="26" t="s">
        <v>61</v>
      </c>
      <c r="M207" s="26" t="s">
        <v>62</v>
      </c>
      <c r="N207" s="26" t="s">
        <v>100</v>
      </c>
      <c r="O207" s="26" t="n">
        <f aca="false">F207+G207+H207</f>
        <v>1520</v>
      </c>
      <c r="P207" s="28" t="n">
        <f aca="false">IFERROR(O207/I207,0)</f>
        <v>0.107686857952533</v>
      </c>
    </row>
    <row r="208" customFormat="false" ht="15" hidden="false" customHeight="false" outlineLevel="0" collapsed="false">
      <c r="A208" s="26" t="s">
        <v>311</v>
      </c>
      <c r="B208" s="26" t="s">
        <v>38</v>
      </c>
      <c r="C208" s="27" t="n">
        <v>45655</v>
      </c>
      <c r="D208" s="26" t="s">
        <v>48</v>
      </c>
      <c r="E208" s="26" t="s">
        <v>107</v>
      </c>
      <c r="F208" s="26" t="n">
        <v>4274</v>
      </c>
      <c r="G208" s="26" t="n">
        <v>340</v>
      </c>
      <c r="H208" s="26" t="n">
        <v>281</v>
      </c>
      <c r="I208" s="26" t="n">
        <v>34192</v>
      </c>
      <c r="J208" s="26" t="n">
        <v>33446</v>
      </c>
      <c r="K208" s="26" t="n">
        <v>129</v>
      </c>
      <c r="L208" s="26" t="s">
        <v>64</v>
      </c>
      <c r="M208" s="26" t="s">
        <v>60</v>
      </c>
      <c r="N208" s="26" t="s">
        <v>105</v>
      </c>
      <c r="O208" s="26" t="n">
        <f aca="false">F208+G208+H208</f>
        <v>4895</v>
      </c>
      <c r="P208" s="28" t="n">
        <f aca="false">IFERROR(O208/I208,0)</f>
        <v>0.14316214319139</v>
      </c>
    </row>
    <row r="209" customFormat="false" ht="15" hidden="false" customHeight="false" outlineLevel="0" collapsed="false">
      <c r="A209" s="26" t="s">
        <v>312</v>
      </c>
      <c r="B209" s="26" t="s">
        <v>39</v>
      </c>
      <c r="C209" s="27" t="n">
        <v>45467</v>
      </c>
      <c r="D209" s="26" t="s">
        <v>53</v>
      </c>
      <c r="E209" s="26" t="s">
        <v>119</v>
      </c>
      <c r="F209" s="26" t="n">
        <v>2949</v>
      </c>
      <c r="G209" s="26" t="n">
        <v>476</v>
      </c>
      <c r="H209" s="26" t="n">
        <v>403</v>
      </c>
      <c r="I209" s="26" t="n">
        <v>44235</v>
      </c>
      <c r="J209" s="26" t="n">
        <v>43705</v>
      </c>
      <c r="K209" s="26" t="n">
        <v>135</v>
      </c>
      <c r="L209" s="26" t="s">
        <v>63</v>
      </c>
      <c r="M209" s="26" t="s">
        <v>60</v>
      </c>
      <c r="N209" s="26" t="s">
        <v>97</v>
      </c>
      <c r="O209" s="26" t="n">
        <f aca="false">F209+G209+H209</f>
        <v>3828</v>
      </c>
      <c r="P209" s="28" t="n">
        <f aca="false">IFERROR(O209/I209,0)</f>
        <v>0.0865378094269244</v>
      </c>
    </row>
    <row r="210" customFormat="false" ht="15" hidden="false" customHeight="false" outlineLevel="0" collapsed="false">
      <c r="A210" s="26" t="s">
        <v>313</v>
      </c>
      <c r="B210" s="26" t="s">
        <v>38</v>
      </c>
      <c r="C210" s="27" t="n">
        <v>45735</v>
      </c>
      <c r="D210" s="26" t="s">
        <v>53</v>
      </c>
      <c r="E210" s="26" t="s">
        <v>119</v>
      </c>
      <c r="F210" s="26" t="n">
        <v>3160</v>
      </c>
      <c r="G210" s="26" t="n">
        <v>204</v>
      </c>
      <c r="H210" s="26" t="n">
        <v>297</v>
      </c>
      <c r="I210" s="26" t="n">
        <v>44240</v>
      </c>
      <c r="J210" s="26" t="n">
        <v>43666</v>
      </c>
      <c r="K210" s="26" t="n">
        <v>49</v>
      </c>
      <c r="L210" s="26" t="s">
        <v>64</v>
      </c>
      <c r="M210" s="26" t="s">
        <v>63</v>
      </c>
      <c r="N210" s="26" t="s">
        <v>97</v>
      </c>
      <c r="O210" s="26" t="n">
        <f aca="false">F210+G210+H210</f>
        <v>3661</v>
      </c>
      <c r="P210" s="28" t="n">
        <f aca="false">IFERROR(O210/I210,0)</f>
        <v>0.082753164556962</v>
      </c>
    </row>
    <row r="211" customFormat="false" ht="15" hidden="false" customHeight="false" outlineLevel="0" collapsed="false">
      <c r="A211" s="26" t="s">
        <v>314</v>
      </c>
      <c r="B211" s="26" t="s">
        <v>39</v>
      </c>
      <c r="C211" s="27" t="n">
        <v>45707</v>
      </c>
      <c r="D211" s="26" t="s">
        <v>49</v>
      </c>
      <c r="E211" s="26" t="s">
        <v>110</v>
      </c>
      <c r="F211" s="26" t="n">
        <v>257</v>
      </c>
      <c r="G211" s="26" t="n">
        <v>966</v>
      </c>
      <c r="H211" s="26" t="n">
        <v>398</v>
      </c>
      <c r="I211" s="26" t="n">
        <v>3341</v>
      </c>
      <c r="J211" s="26" t="n">
        <v>2753</v>
      </c>
      <c r="K211" s="26" t="n">
        <v>287</v>
      </c>
      <c r="L211" s="26" t="s">
        <v>63</v>
      </c>
      <c r="M211" s="26" t="s">
        <v>62</v>
      </c>
      <c r="N211" s="26" t="s">
        <v>97</v>
      </c>
      <c r="O211" s="26" t="n">
        <f aca="false">F211+G211+H211</f>
        <v>1621</v>
      </c>
      <c r="P211" s="28" t="n">
        <f aca="false">IFERROR(O211/I211,0)</f>
        <v>0.485184076623765</v>
      </c>
    </row>
    <row r="212" customFormat="false" ht="15" hidden="false" customHeight="false" outlineLevel="0" collapsed="false">
      <c r="A212" s="26" t="s">
        <v>315</v>
      </c>
      <c r="B212" s="26" t="s">
        <v>38</v>
      </c>
      <c r="C212" s="27" t="n">
        <v>45491</v>
      </c>
      <c r="D212" s="26" t="s">
        <v>48</v>
      </c>
      <c r="E212" s="26" t="s">
        <v>107</v>
      </c>
      <c r="F212" s="26" t="n">
        <v>2120</v>
      </c>
      <c r="G212" s="26" t="n">
        <v>38</v>
      </c>
      <c r="H212" s="26" t="n">
        <v>212</v>
      </c>
      <c r="I212" s="26" t="n">
        <v>12720</v>
      </c>
      <c r="J212" s="26" t="n">
        <v>12564</v>
      </c>
      <c r="K212" s="26" t="n">
        <v>21</v>
      </c>
      <c r="L212" s="26" t="s">
        <v>63</v>
      </c>
      <c r="M212" s="26" t="s">
        <v>62</v>
      </c>
      <c r="N212" s="26" t="s">
        <v>97</v>
      </c>
      <c r="O212" s="26" t="n">
        <f aca="false">F212+G212+H212</f>
        <v>2370</v>
      </c>
      <c r="P212" s="28" t="n">
        <f aca="false">IFERROR(O212/I212,0)</f>
        <v>0.186320754716981</v>
      </c>
    </row>
    <row r="213" customFormat="false" ht="15" hidden="false" customHeight="false" outlineLevel="0" collapsed="false">
      <c r="A213" s="26" t="s">
        <v>316</v>
      </c>
      <c r="B213" s="26" t="s">
        <v>39</v>
      </c>
      <c r="C213" s="27" t="n">
        <v>45719</v>
      </c>
      <c r="D213" s="26" t="s">
        <v>53</v>
      </c>
      <c r="E213" s="26" t="s">
        <v>119</v>
      </c>
      <c r="F213" s="26" t="n">
        <v>3874</v>
      </c>
      <c r="G213" s="26" t="n">
        <v>884</v>
      </c>
      <c r="H213" s="26" t="n">
        <v>19</v>
      </c>
      <c r="I213" s="26" t="n">
        <v>38740</v>
      </c>
      <c r="J213" s="26" t="n">
        <v>38552</v>
      </c>
      <c r="K213" s="26" t="n">
        <v>219</v>
      </c>
      <c r="L213" s="26" t="s">
        <v>64</v>
      </c>
      <c r="M213" s="26"/>
      <c r="N213" s="26" t="s">
        <v>113</v>
      </c>
      <c r="O213" s="26" t="n">
        <f aca="false">F213+G213+H213</f>
        <v>4777</v>
      </c>
      <c r="P213" s="28" t="n">
        <f aca="false">IFERROR(O213/I213,0)</f>
        <v>0.123309241094476</v>
      </c>
    </row>
    <row r="214" customFormat="false" ht="15" hidden="false" customHeight="false" outlineLevel="0" collapsed="false">
      <c r="A214" s="26" t="s">
        <v>317</v>
      </c>
      <c r="B214" s="26" t="s">
        <v>36</v>
      </c>
      <c r="C214" s="27" t="n">
        <v>45778</v>
      </c>
      <c r="D214" s="26" t="s">
        <v>48</v>
      </c>
      <c r="E214" s="26" t="s">
        <v>107</v>
      </c>
      <c r="F214" s="26" t="n">
        <v>2696</v>
      </c>
      <c r="G214" s="26" t="n">
        <v>628</v>
      </c>
      <c r="H214" s="26" t="n">
        <v>443</v>
      </c>
      <c r="I214" s="26" t="n">
        <v>45832</v>
      </c>
      <c r="J214" s="26" t="n">
        <v>45632</v>
      </c>
      <c r="K214" s="26" t="n">
        <v>248</v>
      </c>
      <c r="L214" s="26" t="s">
        <v>62</v>
      </c>
      <c r="M214" s="26"/>
      <c r="N214" s="26" t="s">
        <v>105</v>
      </c>
      <c r="O214" s="26" t="n">
        <f aca="false">F214+G214+H214</f>
        <v>3767</v>
      </c>
      <c r="P214" s="28" t="n">
        <f aca="false">IFERROR(O214/I214,0)</f>
        <v>0.0821914819340199</v>
      </c>
    </row>
    <row r="215" customFormat="false" ht="15" hidden="false" customHeight="false" outlineLevel="0" collapsed="false">
      <c r="A215" s="26" t="s">
        <v>318</v>
      </c>
      <c r="B215" s="26" t="s">
        <v>37</v>
      </c>
      <c r="C215" s="27" t="n">
        <v>45649</v>
      </c>
      <c r="D215" s="26" t="s">
        <v>49</v>
      </c>
      <c r="E215" s="26" t="s">
        <v>110</v>
      </c>
      <c r="F215" s="26" t="n">
        <v>521</v>
      </c>
      <c r="G215" s="26" t="n">
        <v>746</v>
      </c>
      <c r="H215" s="26" t="n">
        <v>315</v>
      </c>
      <c r="I215" s="26" t="n">
        <v>4168</v>
      </c>
      <c r="J215" s="26" t="n">
        <v>3399</v>
      </c>
      <c r="K215" s="26" t="n">
        <v>282</v>
      </c>
      <c r="L215" s="26" t="s">
        <v>62</v>
      </c>
      <c r="M215" s="26"/>
      <c r="N215" s="26" t="s">
        <v>97</v>
      </c>
      <c r="O215" s="26" t="n">
        <f aca="false">F215+G215+H215</f>
        <v>1582</v>
      </c>
      <c r="P215" s="28" t="n">
        <f aca="false">IFERROR(O215/I215,0)</f>
        <v>0.379558541266795</v>
      </c>
    </row>
    <row r="216" customFormat="false" ht="15" hidden="false" customHeight="false" outlineLevel="0" collapsed="false">
      <c r="A216" s="26" t="s">
        <v>319</v>
      </c>
      <c r="B216" s="26" t="s">
        <v>36</v>
      </c>
      <c r="C216" s="27" t="n">
        <v>45783</v>
      </c>
      <c r="D216" s="26" t="s">
        <v>49</v>
      </c>
      <c r="E216" s="26" t="s">
        <v>110</v>
      </c>
      <c r="F216" s="26" t="n">
        <v>4872</v>
      </c>
      <c r="G216" s="26" t="n">
        <v>925</v>
      </c>
      <c r="H216" s="26" t="n">
        <v>176</v>
      </c>
      <c r="I216" s="26" t="n">
        <v>82824</v>
      </c>
      <c r="J216" s="26" t="n">
        <v>82543</v>
      </c>
      <c r="K216" s="26" t="n">
        <v>89</v>
      </c>
      <c r="L216" s="26" t="s">
        <v>62</v>
      </c>
      <c r="M216" s="26" t="s">
        <v>63</v>
      </c>
      <c r="N216" s="26" t="s">
        <v>97</v>
      </c>
      <c r="O216" s="26" t="n">
        <f aca="false">F216+G216+H216</f>
        <v>5973</v>
      </c>
      <c r="P216" s="28" t="n">
        <f aca="false">IFERROR(O216/I216,0)</f>
        <v>0.072116777745581</v>
      </c>
    </row>
    <row r="217" customFormat="false" ht="15" hidden="false" customHeight="false" outlineLevel="0" collapsed="false">
      <c r="A217" s="26" t="s">
        <v>320</v>
      </c>
      <c r="B217" s="26" t="s">
        <v>39</v>
      </c>
      <c r="C217" s="27" t="n">
        <v>45502</v>
      </c>
      <c r="D217" s="26" t="s">
        <v>51</v>
      </c>
      <c r="E217" s="26" t="s">
        <v>103</v>
      </c>
      <c r="F217" s="26" t="n">
        <v>1509</v>
      </c>
      <c r="G217" s="26" t="n">
        <v>88</v>
      </c>
      <c r="H217" s="26" t="n">
        <v>163</v>
      </c>
      <c r="I217" s="26" t="n">
        <v>30180</v>
      </c>
      <c r="J217" s="26" t="n">
        <v>29689</v>
      </c>
      <c r="K217" s="26" t="n">
        <v>119</v>
      </c>
      <c r="L217" s="26" t="s">
        <v>63</v>
      </c>
      <c r="M217" s="26"/>
      <c r="N217" s="26" t="s">
        <v>97</v>
      </c>
      <c r="O217" s="26" t="n">
        <f aca="false">F217+G217+H217</f>
        <v>1760</v>
      </c>
      <c r="P217" s="28" t="n">
        <f aca="false">IFERROR(O217/I217,0)</f>
        <v>0.0583167660702452</v>
      </c>
    </row>
    <row r="218" customFormat="false" ht="15" hidden="false" customHeight="false" outlineLevel="0" collapsed="false">
      <c r="A218" s="26" t="s">
        <v>321</v>
      </c>
      <c r="B218" s="26" t="s">
        <v>36</v>
      </c>
      <c r="C218" s="27" t="n">
        <v>45629</v>
      </c>
      <c r="D218" s="26" t="s">
        <v>49</v>
      </c>
      <c r="E218" s="26" t="s">
        <v>110</v>
      </c>
      <c r="F218" s="26" t="n">
        <v>4606</v>
      </c>
      <c r="G218" s="26" t="n">
        <v>931</v>
      </c>
      <c r="H218" s="26" t="n">
        <v>230</v>
      </c>
      <c r="I218" s="26" t="n">
        <v>92120</v>
      </c>
      <c r="J218" s="26" t="n">
        <v>91440</v>
      </c>
      <c r="K218" s="26" t="n">
        <v>56</v>
      </c>
      <c r="L218" s="26" t="s">
        <v>60</v>
      </c>
      <c r="M218" s="26" t="s">
        <v>61</v>
      </c>
      <c r="N218" s="26" t="s">
        <v>105</v>
      </c>
      <c r="O218" s="26" t="n">
        <f aca="false">F218+G218+H218</f>
        <v>5767</v>
      </c>
      <c r="P218" s="28" t="n">
        <f aca="false">IFERROR(O218/I218,0)</f>
        <v>0.0626031263569258</v>
      </c>
    </row>
    <row r="219" customFormat="false" ht="15" hidden="false" customHeight="false" outlineLevel="0" collapsed="false">
      <c r="A219" s="26" t="s">
        <v>322</v>
      </c>
      <c r="B219" s="26" t="s">
        <v>36</v>
      </c>
      <c r="C219" s="27" t="n">
        <v>45454</v>
      </c>
      <c r="D219" s="26" t="s">
        <v>48</v>
      </c>
      <c r="E219" s="26" t="s">
        <v>107</v>
      </c>
      <c r="F219" s="26" t="n">
        <v>1869</v>
      </c>
      <c r="G219" s="26" t="n">
        <v>453</v>
      </c>
      <c r="H219" s="26" t="n">
        <v>490</v>
      </c>
      <c r="I219" s="26" t="n">
        <v>14952</v>
      </c>
      <c r="J219" s="26" t="n">
        <v>14309</v>
      </c>
      <c r="K219" s="26" t="n">
        <v>275</v>
      </c>
      <c r="L219" s="26" t="s">
        <v>60</v>
      </c>
      <c r="M219" s="26" t="s">
        <v>64</v>
      </c>
      <c r="N219" s="26" t="s">
        <v>97</v>
      </c>
      <c r="O219" s="26" t="n">
        <f aca="false">F219+G219+H219</f>
        <v>2812</v>
      </c>
      <c r="P219" s="28" t="n">
        <f aca="false">IFERROR(O219/I219,0)</f>
        <v>0.188068485821295</v>
      </c>
    </row>
    <row r="220" customFormat="false" ht="15" hidden="false" customHeight="false" outlineLevel="0" collapsed="false">
      <c r="A220" s="26" t="s">
        <v>323</v>
      </c>
      <c r="B220" s="26" t="s">
        <v>38</v>
      </c>
      <c r="C220" s="27" t="n">
        <v>45685</v>
      </c>
      <c r="D220" s="26" t="s">
        <v>50</v>
      </c>
      <c r="E220" s="26" t="s">
        <v>96</v>
      </c>
      <c r="F220" s="26" t="n">
        <v>1188</v>
      </c>
      <c r="G220" s="26" t="n">
        <v>470</v>
      </c>
      <c r="H220" s="26" t="n">
        <v>174</v>
      </c>
      <c r="I220" s="26" t="n">
        <v>7128</v>
      </c>
      <c r="J220" s="26" t="n">
        <v>6145</v>
      </c>
      <c r="K220" s="26" t="n">
        <v>270</v>
      </c>
      <c r="L220" s="26" t="s">
        <v>64</v>
      </c>
      <c r="M220" s="26" t="s">
        <v>61</v>
      </c>
      <c r="N220" s="26" t="s">
        <v>100</v>
      </c>
      <c r="O220" s="26" t="n">
        <f aca="false">F220+G220+H220</f>
        <v>1832</v>
      </c>
      <c r="P220" s="28" t="n">
        <f aca="false">IFERROR(O220/I220,0)</f>
        <v>0.257014590347924</v>
      </c>
    </row>
    <row r="221" customFormat="false" ht="15" hidden="false" customHeight="false" outlineLevel="0" collapsed="false">
      <c r="A221" s="26" t="s">
        <v>324</v>
      </c>
      <c r="B221" s="26" t="s">
        <v>37</v>
      </c>
      <c r="C221" s="27" t="n">
        <v>45445</v>
      </c>
      <c r="D221" s="26" t="s">
        <v>51</v>
      </c>
      <c r="E221" s="26" t="s">
        <v>103</v>
      </c>
      <c r="F221" s="26" t="n">
        <v>84</v>
      </c>
      <c r="G221" s="26" t="n">
        <v>897</v>
      </c>
      <c r="H221" s="26" t="n">
        <v>85</v>
      </c>
      <c r="I221" s="26" t="n">
        <v>588</v>
      </c>
      <c r="J221" s="26" t="n">
        <v>8</v>
      </c>
      <c r="K221" s="26" t="n">
        <v>12</v>
      </c>
      <c r="L221" s="26" t="s">
        <v>64</v>
      </c>
      <c r="M221" s="26"/>
      <c r="N221" s="26" t="s">
        <v>100</v>
      </c>
      <c r="O221" s="26" t="n">
        <f aca="false">F221+G221+H221</f>
        <v>1066</v>
      </c>
      <c r="P221" s="28" t="n">
        <f aca="false">IFERROR(O221/I221,0)</f>
        <v>1.81292517006803</v>
      </c>
    </row>
    <row r="222" customFormat="false" ht="15" hidden="false" customHeight="false" outlineLevel="0" collapsed="false">
      <c r="A222" s="26" t="s">
        <v>325</v>
      </c>
      <c r="B222" s="26" t="s">
        <v>36</v>
      </c>
      <c r="C222" s="27" t="n">
        <v>45739</v>
      </c>
      <c r="D222" s="26" t="s">
        <v>53</v>
      </c>
      <c r="E222" s="26" t="s">
        <v>119</v>
      </c>
      <c r="F222" s="26" t="n">
        <v>4453</v>
      </c>
      <c r="G222" s="26" t="n">
        <v>111</v>
      </c>
      <c r="H222" s="26" t="n">
        <v>420</v>
      </c>
      <c r="I222" s="26" t="n">
        <v>31171</v>
      </c>
      <c r="J222" s="26" t="n">
        <v>30565</v>
      </c>
      <c r="K222" s="26" t="n">
        <v>23</v>
      </c>
      <c r="L222" s="26" t="s">
        <v>63</v>
      </c>
      <c r="M222" s="26" t="s">
        <v>61</v>
      </c>
      <c r="N222" s="26" t="s">
        <v>113</v>
      </c>
      <c r="O222" s="26" t="n">
        <f aca="false">F222+G222+H222</f>
        <v>4984</v>
      </c>
      <c r="P222" s="28" t="n">
        <f aca="false">IFERROR(O222/I222,0)</f>
        <v>0.159892207500561</v>
      </c>
    </row>
    <row r="223" customFormat="false" ht="15" hidden="false" customHeight="false" outlineLevel="0" collapsed="false">
      <c r="A223" s="26" t="s">
        <v>326</v>
      </c>
      <c r="B223" s="26" t="s">
        <v>36</v>
      </c>
      <c r="C223" s="27" t="n">
        <v>45573</v>
      </c>
      <c r="D223" s="26" t="s">
        <v>50</v>
      </c>
      <c r="E223" s="26" t="s">
        <v>96</v>
      </c>
      <c r="F223" s="26" t="n">
        <v>1814</v>
      </c>
      <c r="G223" s="26" t="n">
        <v>653</v>
      </c>
      <c r="H223" s="26" t="n">
        <v>363</v>
      </c>
      <c r="I223" s="26" t="n">
        <v>25396</v>
      </c>
      <c r="J223" s="26" t="n">
        <v>25286</v>
      </c>
      <c r="K223" s="26" t="n">
        <v>39</v>
      </c>
      <c r="L223" s="26" t="s">
        <v>64</v>
      </c>
      <c r="M223" s="26"/>
      <c r="N223" s="26" t="s">
        <v>97</v>
      </c>
      <c r="O223" s="26" t="n">
        <f aca="false">F223+G223+H223</f>
        <v>2830</v>
      </c>
      <c r="P223" s="28" t="n">
        <f aca="false">IFERROR(O223/I223,0)</f>
        <v>0.111434871633328</v>
      </c>
    </row>
    <row r="224" customFormat="false" ht="15" hidden="false" customHeight="false" outlineLevel="0" collapsed="false">
      <c r="A224" s="26" t="s">
        <v>327</v>
      </c>
      <c r="B224" s="26" t="s">
        <v>38</v>
      </c>
      <c r="C224" s="27" t="n">
        <v>45608</v>
      </c>
      <c r="D224" s="26" t="s">
        <v>49</v>
      </c>
      <c r="E224" s="26" t="s">
        <v>110</v>
      </c>
      <c r="F224" s="26" t="n">
        <v>3338</v>
      </c>
      <c r="G224" s="26" t="n">
        <v>277</v>
      </c>
      <c r="H224" s="26" t="n">
        <v>118</v>
      </c>
      <c r="I224" s="26" t="n">
        <v>60084</v>
      </c>
      <c r="J224" s="26" t="n">
        <v>59842</v>
      </c>
      <c r="K224" s="26" t="n">
        <v>252</v>
      </c>
      <c r="L224" s="26" t="s">
        <v>64</v>
      </c>
      <c r="M224" s="26"/>
      <c r="N224" s="26" t="s">
        <v>97</v>
      </c>
      <c r="O224" s="26" t="n">
        <f aca="false">F224+G224+H224</f>
        <v>3733</v>
      </c>
      <c r="P224" s="28" t="n">
        <f aca="false">IFERROR(O224/I224,0)</f>
        <v>0.0621296851075161</v>
      </c>
    </row>
    <row r="225" customFormat="false" ht="15" hidden="false" customHeight="false" outlineLevel="0" collapsed="false">
      <c r="A225" s="26" t="s">
        <v>328</v>
      </c>
      <c r="B225" s="26" t="s">
        <v>36</v>
      </c>
      <c r="C225" s="27" t="n">
        <v>45790</v>
      </c>
      <c r="D225" s="26" t="s">
        <v>49</v>
      </c>
      <c r="E225" s="26" t="s">
        <v>110</v>
      </c>
      <c r="F225" s="26" t="n">
        <v>602</v>
      </c>
      <c r="G225" s="26" t="n">
        <v>594</v>
      </c>
      <c r="H225" s="26" t="n">
        <v>156</v>
      </c>
      <c r="I225" s="26" t="n">
        <v>4214</v>
      </c>
      <c r="J225" s="26" t="n">
        <v>3363</v>
      </c>
      <c r="K225" s="26" t="n">
        <v>164</v>
      </c>
      <c r="L225" s="26" t="s">
        <v>62</v>
      </c>
      <c r="M225" s="26"/>
      <c r="N225" s="26" t="s">
        <v>105</v>
      </c>
      <c r="O225" s="26" t="n">
        <f aca="false">F225+G225+H225</f>
        <v>1352</v>
      </c>
      <c r="P225" s="28" t="n">
        <f aca="false">IFERROR(O225/I225,0)</f>
        <v>0.320835310868533</v>
      </c>
    </row>
    <row r="226" customFormat="false" ht="15" hidden="false" customHeight="false" outlineLevel="0" collapsed="false">
      <c r="A226" s="26" t="s">
        <v>329</v>
      </c>
      <c r="B226" s="26" t="s">
        <v>38</v>
      </c>
      <c r="C226" s="27" t="n">
        <v>45463</v>
      </c>
      <c r="D226" s="26" t="s">
        <v>48</v>
      </c>
      <c r="E226" s="26" t="s">
        <v>107</v>
      </c>
      <c r="F226" s="26" t="n">
        <v>4672</v>
      </c>
      <c r="G226" s="26" t="n">
        <v>325</v>
      </c>
      <c r="H226" s="26" t="n">
        <v>32</v>
      </c>
      <c r="I226" s="26" t="n">
        <v>88768</v>
      </c>
      <c r="J226" s="26" t="n">
        <v>87833</v>
      </c>
      <c r="K226" s="26" t="n">
        <v>118</v>
      </c>
      <c r="L226" s="26" t="s">
        <v>60</v>
      </c>
      <c r="M226" s="26" t="s">
        <v>62</v>
      </c>
      <c r="N226" s="26" t="s">
        <v>105</v>
      </c>
      <c r="O226" s="26" t="n">
        <f aca="false">F226+G226+H226</f>
        <v>5029</v>
      </c>
      <c r="P226" s="28" t="n">
        <f aca="false">IFERROR(O226/I226,0)</f>
        <v>0.0566532984859409</v>
      </c>
    </row>
    <row r="227" customFormat="false" ht="15" hidden="false" customHeight="false" outlineLevel="0" collapsed="false">
      <c r="A227" s="26" t="s">
        <v>330</v>
      </c>
      <c r="B227" s="26" t="s">
        <v>37</v>
      </c>
      <c r="C227" s="27" t="n">
        <v>45511</v>
      </c>
      <c r="D227" s="26" t="s">
        <v>48</v>
      </c>
      <c r="E227" s="26" t="s">
        <v>107</v>
      </c>
      <c r="F227" s="26" t="n">
        <v>1741</v>
      </c>
      <c r="G227" s="26" t="n">
        <v>164</v>
      </c>
      <c r="H227" s="26" t="n">
        <v>318</v>
      </c>
      <c r="I227" s="26" t="n">
        <v>8705</v>
      </c>
      <c r="J227" s="26" t="n">
        <v>8272</v>
      </c>
      <c r="K227" s="26" t="n">
        <v>121</v>
      </c>
      <c r="L227" s="26" t="s">
        <v>62</v>
      </c>
      <c r="M227" s="26"/>
      <c r="N227" s="26" t="s">
        <v>100</v>
      </c>
      <c r="O227" s="26" t="n">
        <f aca="false">F227+G227+H227</f>
        <v>2223</v>
      </c>
      <c r="P227" s="28" t="n">
        <f aca="false">IFERROR(O227/I227,0)</f>
        <v>0.255370476737507</v>
      </c>
    </row>
    <row r="228" customFormat="false" ht="15" hidden="false" customHeight="false" outlineLevel="0" collapsed="false">
      <c r="A228" s="26" t="s">
        <v>331</v>
      </c>
      <c r="B228" s="26" t="s">
        <v>37</v>
      </c>
      <c r="C228" s="27" t="n">
        <v>45455</v>
      </c>
      <c r="D228" s="26" t="s">
        <v>52</v>
      </c>
      <c r="E228" s="26" t="s">
        <v>99</v>
      </c>
      <c r="F228" s="26" t="n">
        <v>246</v>
      </c>
      <c r="G228" s="26" t="n">
        <v>149</v>
      </c>
      <c r="H228" s="26" t="n">
        <v>130</v>
      </c>
      <c r="I228" s="26" t="n">
        <v>4674</v>
      </c>
      <c r="J228" s="26" t="n">
        <v>4390</v>
      </c>
      <c r="K228" s="26" t="n">
        <v>217</v>
      </c>
      <c r="L228" s="26" t="s">
        <v>63</v>
      </c>
      <c r="M228" s="26" t="s">
        <v>60</v>
      </c>
      <c r="N228" s="26" t="s">
        <v>100</v>
      </c>
      <c r="O228" s="26" t="n">
        <f aca="false">F228+G228+H228</f>
        <v>525</v>
      </c>
      <c r="P228" s="28" t="n">
        <f aca="false">IFERROR(O228/I228,0)</f>
        <v>0.112323491655969</v>
      </c>
    </row>
    <row r="229" customFormat="false" ht="15" hidden="false" customHeight="false" outlineLevel="0" collapsed="false">
      <c r="A229" s="26" t="s">
        <v>332</v>
      </c>
      <c r="B229" s="26" t="s">
        <v>37</v>
      </c>
      <c r="C229" s="27" t="n">
        <v>45474</v>
      </c>
      <c r="D229" s="26" t="s">
        <v>51</v>
      </c>
      <c r="E229" s="26" t="s">
        <v>103</v>
      </c>
      <c r="F229" s="26" t="n">
        <v>4808</v>
      </c>
      <c r="G229" s="26" t="n">
        <v>772</v>
      </c>
      <c r="H229" s="26" t="n">
        <v>320</v>
      </c>
      <c r="I229" s="26" t="n">
        <v>72120</v>
      </c>
      <c r="J229" s="26" t="n">
        <v>71696</v>
      </c>
      <c r="K229" s="26" t="n">
        <v>195</v>
      </c>
      <c r="L229" s="26" t="s">
        <v>63</v>
      </c>
      <c r="M229" s="26" t="s">
        <v>62</v>
      </c>
      <c r="N229" s="26" t="s">
        <v>113</v>
      </c>
      <c r="O229" s="26" t="n">
        <f aca="false">F229+G229+H229</f>
        <v>5900</v>
      </c>
      <c r="P229" s="28" t="n">
        <f aca="false">IFERROR(O229/I229,0)</f>
        <v>0.081808097615086</v>
      </c>
    </row>
    <row r="230" customFormat="false" ht="15" hidden="false" customHeight="false" outlineLevel="0" collapsed="false">
      <c r="A230" s="26" t="s">
        <v>333</v>
      </c>
      <c r="B230" s="26" t="s">
        <v>37</v>
      </c>
      <c r="C230" s="27" t="n">
        <v>45476</v>
      </c>
      <c r="D230" s="26" t="s">
        <v>48</v>
      </c>
      <c r="E230" s="26" t="s">
        <v>107</v>
      </c>
      <c r="F230" s="26" t="n">
        <v>4799</v>
      </c>
      <c r="G230" s="26" t="n">
        <v>694</v>
      </c>
      <c r="H230" s="26" t="n">
        <v>289</v>
      </c>
      <c r="I230" s="26" t="n">
        <v>43191</v>
      </c>
      <c r="J230" s="26" t="n">
        <v>42228</v>
      </c>
      <c r="K230" s="26" t="n">
        <v>118</v>
      </c>
      <c r="L230" s="26" t="s">
        <v>63</v>
      </c>
      <c r="M230" s="26"/>
      <c r="N230" s="26" t="s">
        <v>100</v>
      </c>
      <c r="O230" s="26" t="n">
        <f aca="false">F230+G230+H230</f>
        <v>5782</v>
      </c>
      <c r="P230" s="28" t="n">
        <f aca="false">IFERROR(O230/I230,0)</f>
        <v>0.1338704822764</v>
      </c>
    </row>
    <row r="231" customFormat="false" ht="15" hidden="false" customHeight="false" outlineLevel="0" collapsed="false">
      <c r="A231" s="26" t="s">
        <v>334</v>
      </c>
      <c r="B231" s="26" t="s">
        <v>36</v>
      </c>
      <c r="C231" s="27" t="n">
        <v>45488</v>
      </c>
      <c r="D231" s="26" t="s">
        <v>50</v>
      </c>
      <c r="E231" s="26" t="s">
        <v>96</v>
      </c>
      <c r="F231" s="26" t="n">
        <v>3663</v>
      </c>
      <c r="G231" s="26" t="n">
        <v>17</v>
      </c>
      <c r="H231" s="26" t="n">
        <v>295</v>
      </c>
      <c r="I231" s="26" t="n">
        <v>51282</v>
      </c>
      <c r="J231" s="26" t="n">
        <v>50567</v>
      </c>
      <c r="K231" s="26" t="n">
        <v>84</v>
      </c>
      <c r="L231" s="26" t="s">
        <v>62</v>
      </c>
      <c r="M231" s="26"/>
      <c r="N231" s="26" t="s">
        <v>97</v>
      </c>
      <c r="O231" s="26" t="n">
        <f aca="false">F231+G231+H231</f>
        <v>3975</v>
      </c>
      <c r="P231" s="28" t="n">
        <f aca="false">IFERROR(O231/I231,0)</f>
        <v>0.0775125775125775</v>
      </c>
    </row>
    <row r="232" customFormat="false" ht="15" hidden="false" customHeight="false" outlineLevel="0" collapsed="false">
      <c r="A232" s="26" t="s">
        <v>335</v>
      </c>
      <c r="B232" s="26" t="s">
        <v>37</v>
      </c>
      <c r="C232" s="27" t="n">
        <v>45778</v>
      </c>
      <c r="D232" s="26" t="s">
        <v>52</v>
      </c>
      <c r="E232" s="26" t="s">
        <v>99</v>
      </c>
      <c r="F232" s="26" t="n">
        <v>1430</v>
      </c>
      <c r="G232" s="26" t="n">
        <v>376</v>
      </c>
      <c r="H232" s="26" t="n">
        <v>33</v>
      </c>
      <c r="I232" s="26" t="n">
        <v>21450</v>
      </c>
      <c r="J232" s="26" t="n">
        <v>20509</v>
      </c>
      <c r="K232" s="26" t="n">
        <v>251</v>
      </c>
      <c r="L232" s="26" t="s">
        <v>60</v>
      </c>
      <c r="M232" s="26"/>
      <c r="N232" s="26" t="s">
        <v>105</v>
      </c>
      <c r="O232" s="26" t="n">
        <f aca="false">F232+G232+H232</f>
        <v>1839</v>
      </c>
      <c r="P232" s="28" t="n">
        <f aca="false">IFERROR(O232/I232,0)</f>
        <v>0.0857342657342657</v>
      </c>
    </row>
    <row r="233" customFormat="false" ht="15" hidden="false" customHeight="false" outlineLevel="0" collapsed="false">
      <c r="A233" s="26" t="s">
        <v>336</v>
      </c>
      <c r="B233" s="26" t="s">
        <v>38</v>
      </c>
      <c r="C233" s="27" t="n">
        <v>45776</v>
      </c>
      <c r="D233" s="26" t="s">
        <v>51</v>
      </c>
      <c r="E233" s="26" t="s">
        <v>103</v>
      </c>
      <c r="F233" s="26" t="n">
        <v>249</v>
      </c>
      <c r="G233" s="26" t="n">
        <v>592</v>
      </c>
      <c r="H233" s="26" t="n">
        <v>230</v>
      </c>
      <c r="I233" s="26" t="n">
        <v>1494</v>
      </c>
      <c r="J233" s="26" t="n">
        <v>1044</v>
      </c>
      <c r="K233" s="26" t="n">
        <v>201</v>
      </c>
      <c r="L233" s="26" t="s">
        <v>61</v>
      </c>
      <c r="M233" s="26" t="s">
        <v>63</v>
      </c>
      <c r="N233" s="26" t="s">
        <v>113</v>
      </c>
      <c r="O233" s="26" t="n">
        <f aca="false">F233+G233+H233</f>
        <v>1071</v>
      </c>
      <c r="P233" s="28" t="n">
        <f aca="false">IFERROR(O233/I233,0)</f>
        <v>0.716867469879518</v>
      </c>
    </row>
    <row r="234" customFormat="false" ht="15" hidden="false" customHeight="false" outlineLevel="0" collapsed="false">
      <c r="A234" s="26" t="s">
        <v>337</v>
      </c>
      <c r="B234" s="26" t="s">
        <v>36</v>
      </c>
      <c r="C234" s="27" t="n">
        <v>45724</v>
      </c>
      <c r="D234" s="26" t="s">
        <v>49</v>
      </c>
      <c r="E234" s="26" t="s">
        <v>110</v>
      </c>
      <c r="F234" s="26" t="n">
        <v>2382</v>
      </c>
      <c r="G234" s="26" t="n">
        <v>265</v>
      </c>
      <c r="H234" s="26" t="n">
        <v>134</v>
      </c>
      <c r="I234" s="26" t="n">
        <v>38112</v>
      </c>
      <c r="J234" s="26" t="n">
        <v>37437</v>
      </c>
      <c r="K234" s="26" t="n">
        <v>249</v>
      </c>
      <c r="L234" s="26" t="s">
        <v>60</v>
      </c>
      <c r="M234" s="26" t="s">
        <v>63</v>
      </c>
      <c r="N234" s="26" t="s">
        <v>100</v>
      </c>
      <c r="O234" s="26" t="n">
        <f aca="false">F234+G234+H234</f>
        <v>2781</v>
      </c>
      <c r="P234" s="28" t="n">
        <f aca="false">IFERROR(O234/I234,0)</f>
        <v>0.0729691435768262</v>
      </c>
    </row>
    <row r="235" customFormat="false" ht="15" hidden="false" customHeight="false" outlineLevel="0" collapsed="false">
      <c r="A235" s="26" t="s">
        <v>338</v>
      </c>
      <c r="B235" s="26" t="s">
        <v>36</v>
      </c>
      <c r="C235" s="27" t="n">
        <v>45444</v>
      </c>
      <c r="D235" s="26" t="s">
        <v>52</v>
      </c>
      <c r="E235" s="26" t="s">
        <v>99</v>
      </c>
      <c r="F235" s="26" t="n">
        <v>1272</v>
      </c>
      <c r="G235" s="26" t="n">
        <v>465</v>
      </c>
      <c r="H235" s="26" t="n">
        <v>99</v>
      </c>
      <c r="I235" s="26" t="n">
        <v>24168</v>
      </c>
      <c r="J235" s="26" t="n">
        <v>23719</v>
      </c>
      <c r="K235" s="26" t="n">
        <v>42</v>
      </c>
      <c r="L235" s="26" t="s">
        <v>61</v>
      </c>
      <c r="M235" s="26" t="s">
        <v>60</v>
      </c>
      <c r="N235" s="26" t="s">
        <v>100</v>
      </c>
      <c r="O235" s="26" t="n">
        <f aca="false">F235+G235+H235</f>
        <v>1836</v>
      </c>
      <c r="P235" s="28" t="n">
        <f aca="false">IFERROR(O235/I235,0)</f>
        <v>0.0759682224428997</v>
      </c>
    </row>
    <row r="236" customFormat="false" ht="15" hidden="false" customHeight="false" outlineLevel="0" collapsed="false">
      <c r="A236" s="26" t="s">
        <v>339</v>
      </c>
      <c r="B236" s="26" t="s">
        <v>36</v>
      </c>
      <c r="C236" s="27" t="n">
        <v>45648</v>
      </c>
      <c r="D236" s="26" t="s">
        <v>49</v>
      </c>
      <c r="E236" s="26" t="s">
        <v>110</v>
      </c>
      <c r="F236" s="26" t="n">
        <v>3196</v>
      </c>
      <c r="G236" s="26" t="n">
        <v>941</v>
      </c>
      <c r="H236" s="26" t="n">
        <v>376</v>
      </c>
      <c r="I236" s="26" t="n">
        <v>35156</v>
      </c>
      <c r="J236" s="26" t="n">
        <v>34444</v>
      </c>
      <c r="K236" s="26" t="n">
        <v>241</v>
      </c>
      <c r="L236" s="26" t="s">
        <v>64</v>
      </c>
      <c r="M236" s="26" t="s">
        <v>63</v>
      </c>
      <c r="N236" s="26" t="s">
        <v>113</v>
      </c>
      <c r="O236" s="26" t="n">
        <f aca="false">F236+G236+H236</f>
        <v>4513</v>
      </c>
      <c r="P236" s="28" t="n">
        <f aca="false">IFERROR(O236/I236,0)</f>
        <v>0.128370690636022</v>
      </c>
    </row>
    <row r="237" customFormat="false" ht="15" hidden="false" customHeight="false" outlineLevel="0" collapsed="false">
      <c r="A237" s="26" t="s">
        <v>340</v>
      </c>
      <c r="B237" s="26" t="s">
        <v>36</v>
      </c>
      <c r="C237" s="27" t="n">
        <v>45523</v>
      </c>
      <c r="D237" s="26" t="s">
        <v>52</v>
      </c>
      <c r="E237" s="26" t="s">
        <v>99</v>
      </c>
      <c r="F237" s="26" t="n">
        <v>1257</v>
      </c>
      <c r="G237" s="26" t="n">
        <v>19</v>
      </c>
      <c r="H237" s="26" t="n">
        <v>351</v>
      </c>
      <c r="I237" s="26" t="n">
        <v>12570</v>
      </c>
      <c r="J237" s="26" t="n">
        <v>11660</v>
      </c>
      <c r="K237" s="26" t="n">
        <v>194</v>
      </c>
      <c r="L237" s="26" t="s">
        <v>64</v>
      </c>
      <c r="M237" s="26"/>
      <c r="N237" s="26" t="s">
        <v>97</v>
      </c>
      <c r="O237" s="26" t="n">
        <f aca="false">F237+G237+H237</f>
        <v>1627</v>
      </c>
      <c r="P237" s="28" t="n">
        <f aca="false">IFERROR(O237/I237,0)</f>
        <v>0.129435163086714</v>
      </c>
    </row>
    <row r="238" customFormat="false" ht="15" hidden="false" customHeight="false" outlineLevel="0" collapsed="false">
      <c r="A238" s="26" t="s">
        <v>341</v>
      </c>
      <c r="B238" s="26" t="s">
        <v>37</v>
      </c>
      <c r="C238" s="27" t="n">
        <v>45587</v>
      </c>
      <c r="D238" s="26" t="s">
        <v>51</v>
      </c>
      <c r="E238" s="26" t="s">
        <v>103</v>
      </c>
      <c r="F238" s="26" t="n">
        <v>3770</v>
      </c>
      <c r="G238" s="26" t="n">
        <v>917</v>
      </c>
      <c r="H238" s="26" t="n">
        <v>129</v>
      </c>
      <c r="I238" s="26" t="n">
        <v>71630</v>
      </c>
      <c r="J238" s="26" t="n">
        <v>71322</v>
      </c>
      <c r="K238" s="26" t="n">
        <v>76</v>
      </c>
      <c r="L238" s="26" t="s">
        <v>62</v>
      </c>
      <c r="M238" s="26" t="s">
        <v>63</v>
      </c>
      <c r="N238" s="26" t="s">
        <v>113</v>
      </c>
      <c r="O238" s="26" t="n">
        <f aca="false">F238+G238+H238</f>
        <v>4816</v>
      </c>
      <c r="P238" s="28" t="n">
        <f aca="false">IFERROR(O238/I238,0)</f>
        <v>0.0672343989948346</v>
      </c>
    </row>
    <row r="239" customFormat="false" ht="15" hidden="false" customHeight="false" outlineLevel="0" collapsed="false">
      <c r="A239" s="26" t="s">
        <v>342</v>
      </c>
      <c r="B239" s="26" t="s">
        <v>38</v>
      </c>
      <c r="C239" s="27" t="n">
        <v>45489</v>
      </c>
      <c r="D239" s="26" t="s">
        <v>52</v>
      </c>
      <c r="E239" s="26" t="s">
        <v>99</v>
      </c>
      <c r="F239" s="26" t="n">
        <v>4725</v>
      </c>
      <c r="G239" s="26" t="n">
        <v>400</v>
      </c>
      <c r="H239" s="26" t="n">
        <v>362</v>
      </c>
      <c r="I239" s="26" t="n">
        <v>75600</v>
      </c>
      <c r="J239" s="26" t="n">
        <v>74927</v>
      </c>
      <c r="K239" s="26" t="n">
        <v>43</v>
      </c>
      <c r="L239" s="26" t="s">
        <v>63</v>
      </c>
      <c r="M239" s="26" t="s">
        <v>61</v>
      </c>
      <c r="N239" s="26" t="s">
        <v>97</v>
      </c>
      <c r="O239" s="26" t="n">
        <f aca="false">F239+G239+H239</f>
        <v>5487</v>
      </c>
      <c r="P239" s="28" t="n">
        <f aca="false">IFERROR(O239/I239,0)</f>
        <v>0.0725793650793651</v>
      </c>
    </row>
    <row r="240" customFormat="false" ht="15" hidden="false" customHeight="false" outlineLevel="0" collapsed="false">
      <c r="A240" s="26" t="s">
        <v>343</v>
      </c>
      <c r="B240" s="26" t="s">
        <v>39</v>
      </c>
      <c r="C240" s="27" t="n">
        <v>45712</v>
      </c>
      <c r="D240" s="26" t="s">
        <v>52</v>
      </c>
      <c r="E240" s="26" t="s">
        <v>99</v>
      </c>
      <c r="F240" s="26" t="n">
        <v>4188</v>
      </c>
      <c r="G240" s="26" t="n">
        <v>942</v>
      </c>
      <c r="H240" s="26" t="n">
        <v>118</v>
      </c>
      <c r="I240" s="26" t="n">
        <v>20940</v>
      </c>
      <c r="J240" s="26" t="n">
        <v>20471</v>
      </c>
      <c r="K240" s="26" t="n">
        <v>102</v>
      </c>
      <c r="L240" s="26" t="s">
        <v>64</v>
      </c>
      <c r="M240" s="26"/>
      <c r="N240" s="26" t="s">
        <v>100</v>
      </c>
      <c r="O240" s="26" t="n">
        <f aca="false">F240+G240+H240</f>
        <v>5248</v>
      </c>
      <c r="P240" s="28" t="n">
        <f aca="false">IFERROR(O240/I240,0)</f>
        <v>0.25062082139446</v>
      </c>
    </row>
    <row r="241" customFormat="false" ht="15" hidden="false" customHeight="false" outlineLevel="0" collapsed="false">
      <c r="A241" s="26" t="s">
        <v>344</v>
      </c>
      <c r="B241" s="26" t="s">
        <v>38</v>
      </c>
      <c r="C241" s="27" t="n">
        <v>45530</v>
      </c>
      <c r="D241" s="26" t="s">
        <v>48</v>
      </c>
      <c r="E241" s="26" t="s">
        <v>107</v>
      </c>
      <c r="F241" s="26" t="n">
        <v>929</v>
      </c>
      <c r="G241" s="26" t="n">
        <v>192</v>
      </c>
      <c r="H241" s="26" t="n">
        <v>322</v>
      </c>
      <c r="I241" s="26" t="n">
        <v>16722</v>
      </c>
      <c r="J241" s="26" t="n">
        <v>15996</v>
      </c>
      <c r="K241" s="26" t="n">
        <v>145</v>
      </c>
      <c r="L241" s="26" t="s">
        <v>61</v>
      </c>
      <c r="M241" s="26"/>
      <c r="N241" s="26" t="s">
        <v>105</v>
      </c>
      <c r="O241" s="26" t="n">
        <f aca="false">F241+G241+H241</f>
        <v>1443</v>
      </c>
      <c r="P241" s="28" t="n">
        <f aca="false">IFERROR(O241/I241,0)</f>
        <v>0.0862935055615357</v>
      </c>
    </row>
    <row r="242" customFormat="false" ht="15" hidden="false" customHeight="false" outlineLevel="0" collapsed="false">
      <c r="A242" s="26" t="s">
        <v>345</v>
      </c>
      <c r="B242" s="26" t="s">
        <v>36</v>
      </c>
      <c r="C242" s="27" t="n">
        <v>45675</v>
      </c>
      <c r="D242" s="26" t="s">
        <v>51</v>
      </c>
      <c r="E242" s="26" t="s">
        <v>103</v>
      </c>
      <c r="F242" s="26" t="n">
        <v>4321</v>
      </c>
      <c r="G242" s="26" t="n">
        <v>874</v>
      </c>
      <c r="H242" s="26" t="n">
        <v>172</v>
      </c>
      <c r="I242" s="26" t="n">
        <v>30247</v>
      </c>
      <c r="J242" s="26" t="n">
        <v>29254</v>
      </c>
      <c r="K242" s="26" t="n">
        <v>122</v>
      </c>
      <c r="L242" s="26" t="s">
        <v>62</v>
      </c>
      <c r="M242" s="26" t="s">
        <v>61</v>
      </c>
      <c r="N242" s="26" t="s">
        <v>105</v>
      </c>
      <c r="O242" s="26" t="n">
        <f aca="false">F242+G242+H242</f>
        <v>5367</v>
      </c>
      <c r="P242" s="28" t="n">
        <f aca="false">IFERROR(O242/I242,0)</f>
        <v>0.177439084867921</v>
      </c>
    </row>
    <row r="243" customFormat="false" ht="15" hidden="false" customHeight="false" outlineLevel="0" collapsed="false">
      <c r="A243" s="26" t="s">
        <v>346</v>
      </c>
      <c r="B243" s="26" t="s">
        <v>36</v>
      </c>
      <c r="C243" s="27" t="n">
        <v>45480</v>
      </c>
      <c r="D243" s="26" t="s">
        <v>50</v>
      </c>
      <c r="E243" s="26" t="s">
        <v>96</v>
      </c>
      <c r="F243" s="26" t="n">
        <v>4767</v>
      </c>
      <c r="G243" s="26" t="n">
        <v>190</v>
      </c>
      <c r="H243" s="26" t="n">
        <v>340</v>
      </c>
      <c r="I243" s="26" t="n">
        <v>28602</v>
      </c>
      <c r="J243" s="26" t="n">
        <v>28044</v>
      </c>
      <c r="K243" s="26" t="n">
        <v>210</v>
      </c>
      <c r="L243" s="26" t="s">
        <v>60</v>
      </c>
      <c r="M243" s="26"/>
      <c r="N243" s="26" t="s">
        <v>113</v>
      </c>
      <c r="O243" s="26" t="n">
        <f aca="false">F243+G243+H243</f>
        <v>5297</v>
      </c>
      <c r="P243" s="28" t="n">
        <f aca="false">IFERROR(O243/I243,0)</f>
        <v>0.185196839381861</v>
      </c>
    </row>
    <row r="244" customFormat="false" ht="15" hidden="false" customHeight="false" outlineLevel="0" collapsed="false">
      <c r="A244" s="26" t="s">
        <v>347</v>
      </c>
      <c r="B244" s="26" t="s">
        <v>38</v>
      </c>
      <c r="C244" s="27" t="n">
        <v>45722</v>
      </c>
      <c r="D244" s="26" t="s">
        <v>49</v>
      </c>
      <c r="E244" s="26" t="s">
        <v>110</v>
      </c>
      <c r="F244" s="26" t="n">
        <v>3592</v>
      </c>
      <c r="G244" s="26" t="n">
        <v>911</v>
      </c>
      <c r="H244" s="26" t="n">
        <v>375</v>
      </c>
      <c r="I244" s="26" t="n">
        <v>50288</v>
      </c>
      <c r="J244" s="26" t="n">
        <v>49490</v>
      </c>
      <c r="K244" s="26" t="n">
        <v>32</v>
      </c>
      <c r="L244" s="26" t="s">
        <v>64</v>
      </c>
      <c r="M244" s="26"/>
      <c r="N244" s="26" t="s">
        <v>100</v>
      </c>
      <c r="O244" s="26" t="n">
        <f aca="false">F244+G244+H244</f>
        <v>4878</v>
      </c>
      <c r="P244" s="28" t="n">
        <f aca="false">IFERROR(O244/I244,0)</f>
        <v>0.0970012726694241</v>
      </c>
    </row>
    <row r="245" customFormat="false" ht="15" hidden="false" customHeight="false" outlineLevel="0" collapsed="false">
      <c r="A245" s="26" t="s">
        <v>348</v>
      </c>
      <c r="B245" s="26" t="s">
        <v>39</v>
      </c>
      <c r="C245" s="27" t="n">
        <v>45590</v>
      </c>
      <c r="D245" s="26" t="s">
        <v>53</v>
      </c>
      <c r="E245" s="26" t="s">
        <v>119</v>
      </c>
      <c r="F245" s="26" t="n">
        <v>4661</v>
      </c>
      <c r="G245" s="26" t="n">
        <v>935</v>
      </c>
      <c r="H245" s="26" t="n">
        <v>433</v>
      </c>
      <c r="I245" s="26" t="n">
        <v>23305</v>
      </c>
      <c r="J245" s="26" t="n">
        <v>22583</v>
      </c>
      <c r="K245" s="26" t="n">
        <v>63</v>
      </c>
      <c r="L245" s="26" t="s">
        <v>64</v>
      </c>
      <c r="M245" s="26" t="s">
        <v>60</v>
      </c>
      <c r="N245" s="26" t="s">
        <v>97</v>
      </c>
      <c r="O245" s="26" t="n">
        <f aca="false">F245+G245+H245</f>
        <v>6029</v>
      </c>
      <c r="P245" s="28" t="n">
        <f aca="false">IFERROR(O245/I245,0)</f>
        <v>0.258699849817636</v>
      </c>
    </row>
    <row r="246" customFormat="false" ht="15" hidden="false" customHeight="false" outlineLevel="0" collapsed="false">
      <c r="A246" s="26" t="s">
        <v>349</v>
      </c>
      <c r="B246" s="26" t="s">
        <v>36</v>
      </c>
      <c r="C246" s="27" t="n">
        <v>45669</v>
      </c>
      <c r="D246" s="26" t="s">
        <v>50</v>
      </c>
      <c r="E246" s="26" t="s">
        <v>96</v>
      </c>
      <c r="F246" s="26" t="n">
        <v>4134</v>
      </c>
      <c r="G246" s="26" t="n">
        <v>824</v>
      </c>
      <c r="H246" s="26" t="n">
        <v>99</v>
      </c>
      <c r="I246" s="26" t="n">
        <v>41340</v>
      </c>
      <c r="J246" s="26" t="n">
        <v>41050</v>
      </c>
      <c r="K246" s="26" t="n">
        <v>177</v>
      </c>
      <c r="L246" s="26" t="s">
        <v>61</v>
      </c>
      <c r="M246" s="26"/>
      <c r="N246" s="26" t="s">
        <v>100</v>
      </c>
      <c r="O246" s="26" t="n">
        <f aca="false">F246+G246+H246</f>
        <v>5057</v>
      </c>
      <c r="P246" s="28" t="n">
        <f aca="false">IFERROR(O246/I246,0)</f>
        <v>0.122327044025157</v>
      </c>
    </row>
    <row r="247" customFormat="false" ht="15" hidden="false" customHeight="false" outlineLevel="0" collapsed="false">
      <c r="A247" s="26" t="s">
        <v>350</v>
      </c>
      <c r="B247" s="26" t="s">
        <v>36</v>
      </c>
      <c r="C247" s="27" t="n">
        <v>45576</v>
      </c>
      <c r="D247" s="26" t="s">
        <v>49</v>
      </c>
      <c r="E247" s="26" t="s">
        <v>110</v>
      </c>
      <c r="F247" s="26" t="n">
        <v>400</v>
      </c>
      <c r="G247" s="26" t="n">
        <v>680</v>
      </c>
      <c r="H247" s="26" t="n">
        <v>434</v>
      </c>
      <c r="I247" s="26" t="n">
        <v>6400</v>
      </c>
      <c r="J247" s="26" t="n">
        <v>5472</v>
      </c>
      <c r="K247" s="26" t="n">
        <v>160</v>
      </c>
      <c r="L247" s="26" t="s">
        <v>62</v>
      </c>
      <c r="M247" s="26" t="s">
        <v>63</v>
      </c>
      <c r="N247" s="26" t="s">
        <v>100</v>
      </c>
      <c r="O247" s="26" t="n">
        <f aca="false">F247+G247+H247</f>
        <v>1514</v>
      </c>
      <c r="P247" s="28" t="n">
        <f aca="false">IFERROR(O247/I247,0)</f>
        <v>0.2365625</v>
      </c>
    </row>
    <row r="248" customFormat="false" ht="15" hidden="false" customHeight="false" outlineLevel="0" collapsed="false">
      <c r="A248" s="26" t="s">
        <v>351</v>
      </c>
      <c r="B248" s="26" t="s">
        <v>36</v>
      </c>
      <c r="C248" s="27" t="n">
        <v>45531</v>
      </c>
      <c r="D248" s="26" t="s">
        <v>50</v>
      </c>
      <c r="E248" s="26" t="s">
        <v>96</v>
      </c>
      <c r="F248" s="26" t="n">
        <v>3960</v>
      </c>
      <c r="G248" s="26" t="n">
        <v>266</v>
      </c>
      <c r="H248" s="26" t="n">
        <v>8</v>
      </c>
      <c r="I248" s="26" t="n">
        <v>35640</v>
      </c>
      <c r="J248" s="26" t="n">
        <v>34850</v>
      </c>
      <c r="K248" s="26" t="n">
        <v>208</v>
      </c>
      <c r="L248" s="26" t="s">
        <v>63</v>
      </c>
      <c r="M248" s="26" t="s">
        <v>61</v>
      </c>
      <c r="N248" s="26" t="s">
        <v>113</v>
      </c>
      <c r="O248" s="26" t="n">
        <f aca="false">F248+G248+H248</f>
        <v>4234</v>
      </c>
      <c r="P248" s="28" t="n">
        <f aca="false">IFERROR(O248/I248,0)</f>
        <v>0.118799102132435</v>
      </c>
    </row>
    <row r="249" customFormat="false" ht="15" hidden="false" customHeight="false" outlineLevel="0" collapsed="false">
      <c r="A249" s="26" t="s">
        <v>352</v>
      </c>
      <c r="B249" s="26" t="s">
        <v>36</v>
      </c>
      <c r="C249" s="27" t="n">
        <v>45690</v>
      </c>
      <c r="D249" s="26" t="s">
        <v>51</v>
      </c>
      <c r="E249" s="26" t="s">
        <v>103</v>
      </c>
      <c r="F249" s="26" t="n">
        <v>886</v>
      </c>
      <c r="G249" s="26" t="n">
        <v>126</v>
      </c>
      <c r="H249" s="26" t="n">
        <v>153</v>
      </c>
      <c r="I249" s="26" t="n">
        <v>4430</v>
      </c>
      <c r="J249" s="26" t="n">
        <v>4037</v>
      </c>
      <c r="K249" s="26" t="n">
        <v>212</v>
      </c>
      <c r="L249" s="26" t="s">
        <v>62</v>
      </c>
      <c r="M249" s="26"/>
      <c r="N249" s="26" t="s">
        <v>105</v>
      </c>
      <c r="O249" s="26" t="n">
        <f aca="false">F249+G249+H249</f>
        <v>1165</v>
      </c>
      <c r="P249" s="28" t="n">
        <f aca="false">IFERROR(O249/I249,0)</f>
        <v>0.262979683972912</v>
      </c>
    </row>
    <row r="250" customFormat="false" ht="15" hidden="false" customHeight="false" outlineLevel="0" collapsed="false">
      <c r="A250" s="26" t="s">
        <v>353</v>
      </c>
      <c r="B250" s="26" t="s">
        <v>38</v>
      </c>
      <c r="C250" s="27" t="n">
        <v>45491</v>
      </c>
      <c r="D250" s="26" t="s">
        <v>49</v>
      </c>
      <c r="E250" s="26" t="s">
        <v>110</v>
      </c>
      <c r="F250" s="26" t="n">
        <v>827</v>
      </c>
      <c r="G250" s="26" t="n">
        <v>77</v>
      </c>
      <c r="H250" s="26" t="n">
        <v>402</v>
      </c>
      <c r="I250" s="26" t="n">
        <v>14886</v>
      </c>
      <c r="J250" s="26" t="n">
        <v>14129</v>
      </c>
      <c r="K250" s="26" t="n">
        <v>254</v>
      </c>
      <c r="L250" s="26" t="s">
        <v>64</v>
      </c>
      <c r="M250" s="26"/>
      <c r="N250" s="26" t="s">
        <v>100</v>
      </c>
      <c r="O250" s="26" t="n">
        <f aca="false">F250+G250+H250</f>
        <v>1306</v>
      </c>
      <c r="P250" s="28" t="n">
        <f aca="false">IFERROR(O250/I250,0)</f>
        <v>0.0877334408168749</v>
      </c>
    </row>
    <row r="251" customFormat="false" ht="15" hidden="false" customHeight="false" outlineLevel="0" collapsed="false">
      <c r="A251" s="26" t="s">
        <v>354</v>
      </c>
      <c r="B251" s="26" t="s">
        <v>36</v>
      </c>
      <c r="C251" s="27" t="n">
        <v>45465</v>
      </c>
      <c r="D251" s="26" t="s">
        <v>50</v>
      </c>
      <c r="E251" s="26" t="s">
        <v>96</v>
      </c>
      <c r="F251" s="26" t="n">
        <v>3813</v>
      </c>
      <c r="G251" s="26" t="n">
        <v>935</v>
      </c>
      <c r="H251" s="26" t="n">
        <v>274</v>
      </c>
      <c r="I251" s="26" t="n">
        <v>68634</v>
      </c>
      <c r="J251" s="26" t="n">
        <v>68488</v>
      </c>
      <c r="K251" s="26" t="n">
        <v>251</v>
      </c>
      <c r="L251" s="26" t="s">
        <v>60</v>
      </c>
      <c r="M251" s="26" t="s">
        <v>63</v>
      </c>
      <c r="N251" s="26" t="s">
        <v>97</v>
      </c>
      <c r="O251" s="26" t="n">
        <f aca="false">F251+G251+H251</f>
        <v>5022</v>
      </c>
      <c r="P251" s="28" t="n">
        <f aca="false">IFERROR(O251/I251,0)</f>
        <v>0.0731707317073171</v>
      </c>
    </row>
    <row r="252" customFormat="false" ht="15" hidden="false" customHeight="false" outlineLevel="0" collapsed="false">
      <c r="A252" s="26" t="s">
        <v>355</v>
      </c>
      <c r="B252" s="26" t="s">
        <v>37</v>
      </c>
      <c r="C252" s="27" t="n">
        <v>45743</v>
      </c>
      <c r="D252" s="26" t="s">
        <v>48</v>
      </c>
      <c r="E252" s="26" t="s">
        <v>107</v>
      </c>
      <c r="F252" s="26" t="n">
        <v>1377</v>
      </c>
      <c r="G252" s="26" t="n">
        <v>796</v>
      </c>
      <c r="H252" s="26" t="n">
        <v>387</v>
      </c>
      <c r="I252" s="26" t="n">
        <v>22032</v>
      </c>
      <c r="J252" s="26" t="n">
        <v>21869</v>
      </c>
      <c r="K252" s="26" t="n">
        <v>189</v>
      </c>
      <c r="L252" s="26" t="s">
        <v>60</v>
      </c>
      <c r="M252" s="26" t="s">
        <v>61</v>
      </c>
      <c r="N252" s="26" t="s">
        <v>105</v>
      </c>
      <c r="O252" s="26" t="n">
        <f aca="false">F252+G252+H252</f>
        <v>2560</v>
      </c>
      <c r="P252" s="28" t="n">
        <f aca="false">IFERROR(O252/I252,0)</f>
        <v>0.116194625998548</v>
      </c>
    </row>
    <row r="253" customFormat="false" ht="15" hidden="false" customHeight="false" outlineLevel="0" collapsed="false">
      <c r="A253" s="26" t="s">
        <v>356</v>
      </c>
      <c r="B253" s="26" t="s">
        <v>36</v>
      </c>
      <c r="C253" s="27" t="n">
        <v>45775</v>
      </c>
      <c r="D253" s="26" t="s">
        <v>48</v>
      </c>
      <c r="E253" s="26" t="s">
        <v>107</v>
      </c>
      <c r="F253" s="26" t="n">
        <v>2089</v>
      </c>
      <c r="G253" s="26" t="n">
        <v>476</v>
      </c>
      <c r="H253" s="26" t="n">
        <v>69</v>
      </c>
      <c r="I253" s="26" t="n">
        <v>16712</v>
      </c>
      <c r="J253" s="26" t="n">
        <v>16309</v>
      </c>
      <c r="K253" s="26" t="n">
        <v>64</v>
      </c>
      <c r="L253" s="26" t="s">
        <v>64</v>
      </c>
      <c r="M253" s="26" t="s">
        <v>62</v>
      </c>
      <c r="N253" s="26" t="s">
        <v>97</v>
      </c>
      <c r="O253" s="26" t="n">
        <f aca="false">F253+G253+H253</f>
        <v>2634</v>
      </c>
      <c r="P253" s="28" t="n">
        <f aca="false">IFERROR(O253/I253,0)</f>
        <v>0.157611297271422</v>
      </c>
    </row>
    <row r="254" customFormat="false" ht="15" hidden="false" customHeight="false" outlineLevel="0" collapsed="false">
      <c r="A254" s="26" t="s">
        <v>357</v>
      </c>
      <c r="B254" s="26" t="s">
        <v>38</v>
      </c>
      <c r="C254" s="27" t="n">
        <v>45507</v>
      </c>
      <c r="D254" s="26" t="s">
        <v>50</v>
      </c>
      <c r="E254" s="26" t="s">
        <v>96</v>
      </c>
      <c r="F254" s="26" t="n">
        <v>3791</v>
      </c>
      <c r="G254" s="26" t="n">
        <v>593</v>
      </c>
      <c r="H254" s="26" t="n">
        <v>228</v>
      </c>
      <c r="I254" s="26" t="n">
        <v>53074</v>
      </c>
      <c r="J254" s="26" t="n">
        <v>52613</v>
      </c>
      <c r="K254" s="26" t="n">
        <v>205</v>
      </c>
      <c r="L254" s="26" t="s">
        <v>64</v>
      </c>
      <c r="M254" s="26" t="s">
        <v>60</v>
      </c>
      <c r="N254" s="26" t="s">
        <v>97</v>
      </c>
      <c r="O254" s="26" t="n">
        <f aca="false">F254+G254+H254</f>
        <v>4612</v>
      </c>
      <c r="P254" s="28" t="n">
        <f aca="false">IFERROR(O254/I254,0)</f>
        <v>0.0868975392847722</v>
      </c>
    </row>
    <row r="255" customFormat="false" ht="15" hidden="false" customHeight="false" outlineLevel="0" collapsed="false">
      <c r="A255" s="26" t="s">
        <v>358</v>
      </c>
      <c r="B255" s="26" t="s">
        <v>38</v>
      </c>
      <c r="C255" s="27" t="n">
        <v>45671</v>
      </c>
      <c r="D255" s="26" t="s">
        <v>49</v>
      </c>
      <c r="E255" s="26" t="s">
        <v>110</v>
      </c>
      <c r="F255" s="26" t="n">
        <v>2692</v>
      </c>
      <c r="G255" s="26" t="n">
        <v>115</v>
      </c>
      <c r="H255" s="26" t="n">
        <v>64</v>
      </c>
      <c r="I255" s="26" t="n">
        <v>21536</v>
      </c>
      <c r="J255" s="26" t="n">
        <v>21120</v>
      </c>
      <c r="K255" s="26" t="n">
        <v>224</v>
      </c>
      <c r="L255" s="26" t="s">
        <v>60</v>
      </c>
      <c r="M255" s="26" t="s">
        <v>63</v>
      </c>
      <c r="N255" s="26" t="s">
        <v>113</v>
      </c>
      <c r="O255" s="26" t="n">
        <f aca="false">F255+G255+H255</f>
        <v>2871</v>
      </c>
      <c r="P255" s="28" t="n">
        <f aca="false">IFERROR(O255/I255,0)</f>
        <v>0.133311664190193</v>
      </c>
    </row>
    <row r="256" customFormat="false" ht="15" hidden="false" customHeight="false" outlineLevel="0" collapsed="false">
      <c r="A256" s="26" t="s">
        <v>359</v>
      </c>
      <c r="B256" s="26" t="s">
        <v>36</v>
      </c>
      <c r="C256" s="27" t="n">
        <v>45750</v>
      </c>
      <c r="D256" s="26" t="s">
        <v>51</v>
      </c>
      <c r="E256" s="26" t="s">
        <v>103</v>
      </c>
      <c r="F256" s="26" t="n">
        <v>3767</v>
      </c>
      <c r="G256" s="26" t="n">
        <v>514</v>
      </c>
      <c r="H256" s="26" t="n">
        <v>238</v>
      </c>
      <c r="I256" s="26" t="n">
        <v>37670</v>
      </c>
      <c r="J256" s="26" t="n">
        <v>36807</v>
      </c>
      <c r="K256" s="26" t="n">
        <v>226</v>
      </c>
      <c r="L256" s="26" t="s">
        <v>64</v>
      </c>
      <c r="M256" s="26" t="s">
        <v>60</v>
      </c>
      <c r="N256" s="26" t="s">
        <v>97</v>
      </c>
      <c r="O256" s="26" t="n">
        <f aca="false">F256+G256+H256</f>
        <v>4519</v>
      </c>
      <c r="P256" s="28" t="n">
        <f aca="false">IFERROR(O256/I256,0)</f>
        <v>0.119962835147332</v>
      </c>
    </row>
    <row r="257" customFormat="false" ht="15" hidden="false" customHeight="false" outlineLevel="0" collapsed="false">
      <c r="A257" s="26" t="s">
        <v>360</v>
      </c>
      <c r="B257" s="26" t="s">
        <v>39</v>
      </c>
      <c r="C257" s="27" t="n">
        <v>45553</v>
      </c>
      <c r="D257" s="26" t="s">
        <v>48</v>
      </c>
      <c r="E257" s="26" t="s">
        <v>107</v>
      </c>
      <c r="F257" s="26" t="n">
        <v>2143</v>
      </c>
      <c r="G257" s="26" t="n">
        <v>12</v>
      </c>
      <c r="H257" s="26" t="n">
        <v>204</v>
      </c>
      <c r="I257" s="26" t="n">
        <v>40717</v>
      </c>
      <c r="J257" s="26" t="n">
        <v>40125</v>
      </c>
      <c r="K257" s="26" t="n">
        <v>248</v>
      </c>
      <c r="L257" s="26" t="s">
        <v>60</v>
      </c>
      <c r="M257" s="26" t="s">
        <v>62</v>
      </c>
      <c r="N257" s="26" t="s">
        <v>113</v>
      </c>
      <c r="O257" s="26" t="n">
        <f aca="false">F257+G257+H257</f>
        <v>2359</v>
      </c>
      <c r="P257" s="28" t="n">
        <f aca="false">IFERROR(O257/I257,0)</f>
        <v>0.05793648844463</v>
      </c>
    </row>
    <row r="258" customFormat="false" ht="15" hidden="false" customHeight="false" outlineLevel="0" collapsed="false">
      <c r="A258" s="26" t="s">
        <v>361</v>
      </c>
      <c r="B258" s="26" t="s">
        <v>36</v>
      </c>
      <c r="C258" s="27" t="n">
        <v>45753</v>
      </c>
      <c r="D258" s="26" t="s">
        <v>49</v>
      </c>
      <c r="E258" s="26" t="s">
        <v>110</v>
      </c>
      <c r="F258" s="26" t="n">
        <v>3090</v>
      </c>
      <c r="G258" s="26" t="n">
        <v>697</v>
      </c>
      <c r="H258" s="26" t="n">
        <v>164</v>
      </c>
      <c r="I258" s="26" t="n">
        <v>49440</v>
      </c>
      <c r="J258" s="26" t="n">
        <v>48524</v>
      </c>
      <c r="K258" s="26" t="n">
        <v>25</v>
      </c>
      <c r="L258" s="26" t="s">
        <v>60</v>
      </c>
      <c r="M258" s="26" t="s">
        <v>64</v>
      </c>
      <c r="N258" s="26" t="s">
        <v>113</v>
      </c>
      <c r="O258" s="26" t="n">
        <f aca="false">F258+G258+H258</f>
        <v>3951</v>
      </c>
      <c r="P258" s="28" t="n">
        <f aca="false">IFERROR(O258/I258,0)</f>
        <v>0.0799150485436893</v>
      </c>
    </row>
    <row r="259" customFormat="false" ht="15" hidden="false" customHeight="false" outlineLevel="0" collapsed="false">
      <c r="A259" s="26" t="s">
        <v>362</v>
      </c>
      <c r="B259" s="26" t="s">
        <v>37</v>
      </c>
      <c r="C259" s="27" t="n">
        <v>45509</v>
      </c>
      <c r="D259" s="26" t="s">
        <v>51</v>
      </c>
      <c r="E259" s="26" t="s">
        <v>103</v>
      </c>
      <c r="F259" s="26" t="n">
        <v>3601</v>
      </c>
      <c r="G259" s="26" t="n">
        <v>695</v>
      </c>
      <c r="H259" s="26" t="n">
        <v>75</v>
      </c>
      <c r="I259" s="26" t="n">
        <v>21606</v>
      </c>
      <c r="J259" s="26" t="n">
        <v>21454</v>
      </c>
      <c r="K259" s="26" t="n">
        <v>172</v>
      </c>
      <c r="L259" s="26" t="s">
        <v>64</v>
      </c>
      <c r="M259" s="26"/>
      <c r="N259" s="26" t="s">
        <v>100</v>
      </c>
      <c r="O259" s="26" t="n">
        <f aca="false">F259+G259+H259</f>
        <v>4371</v>
      </c>
      <c r="P259" s="28" t="n">
        <f aca="false">IFERROR(O259/I259,0)</f>
        <v>0.202304915301305</v>
      </c>
    </row>
    <row r="260" customFormat="false" ht="15" hidden="false" customHeight="false" outlineLevel="0" collapsed="false">
      <c r="A260" s="26" t="s">
        <v>363</v>
      </c>
      <c r="B260" s="26" t="s">
        <v>36</v>
      </c>
      <c r="C260" s="27" t="n">
        <v>45698</v>
      </c>
      <c r="D260" s="26" t="s">
        <v>52</v>
      </c>
      <c r="E260" s="26" t="s">
        <v>99</v>
      </c>
      <c r="F260" s="26" t="n">
        <v>562</v>
      </c>
      <c r="G260" s="26" t="n">
        <v>158</v>
      </c>
      <c r="H260" s="26" t="n">
        <v>149</v>
      </c>
      <c r="I260" s="26" t="n">
        <v>3372</v>
      </c>
      <c r="J260" s="26" t="n">
        <v>2940</v>
      </c>
      <c r="K260" s="26" t="n">
        <v>93</v>
      </c>
      <c r="L260" s="26" t="s">
        <v>60</v>
      </c>
      <c r="M260" s="26" t="s">
        <v>62</v>
      </c>
      <c r="N260" s="26" t="s">
        <v>113</v>
      </c>
      <c r="O260" s="26" t="n">
        <f aca="false">F260+G260+H260</f>
        <v>869</v>
      </c>
      <c r="P260" s="28" t="n">
        <f aca="false">IFERROR(O260/I260,0)</f>
        <v>0.257710557532622</v>
      </c>
    </row>
    <row r="261" customFormat="false" ht="15" hidden="false" customHeight="false" outlineLevel="0" collapsed="false">
      <c r="A261" s="26" t="s">
        <v>364</v>
      </c>
      <c r="B261" s="26" t="s">
        <v>37</v>
      </c>
      <c r="C261" s="27" t="n">
        <v>45700</v>
      </c>
      <c r="D261" s="26" t="s">
        <v>51</v>
      </c>
      <c r="E261" s="26" t="s">
        <v>103</v>
      </c>
      <c r="F261" s="26" t="n">
        <v>4332</v>
      </c>
      <c r="G261" s="26" t="n">
        <v>771</v>
      </c>
      <c r="H261" s="26" t="n">
        <v>219</v>
      </c>
      <c r="I261" s="26" t="n">
        <v>60648</v>
      </c>
      <c r="J261" s="26" t="n">
        <v>60397</v>
      </c>
      <c r="K261" s="26" t="n">
        <v>10</v>
      </c>
      <c r="L261" s="26" t="s">
        <v>61</v>
      </c>
      <c r="M261" s="26"/>
      <c r="N261" s="26" t="s">
        <v>105</v>
      </c>
      <c r="O261" s="26" t="n">
        <f aca="false">F261+G261+H261</f>
        <v>5322</v>
      </c>
      <c r="P261" s="28" t="n">
        <f aca="false">IFERROR(O261/I261,0)</f>
        <v>0.0877522754254056</v>
      </c>
    </row>
    <row r="262" customFormat="false" ht="15" hidden="false" customHeight="false" outlineLevel="0" collapsed="false">
      <c r="A262" s="26" t="s">
        <v>365</v>
      </c>
      <c r="B262" s="26" t="s">
        <v>37</v>
      </c>
      <c r="C262" s="27" t="n">
        <v>45592</v>
      </c>
      <c r="D262" s="26" t="s">
        <v>49</v>
      </c>
      <c r="E262" s="26" t="s">
        <v>110</v>
      </c>
      <c r="F262" s="26" t="n">
        <v>4853</v>
      </c>
      <c r="G262" s="26" t="n">
        <v>837</v>
      </c>
      <c r="H262" s="26" t="n">
        <v>340</v>
      </c>
      <c r="I262" s="26" t="n">
        <v>72795</v>
      </c>
      <c r="J262" s="26" t="n">
        <v>72237</v>
      </c>
      <c r="K262" s="26" t="n">
        <v>170</v>
      </c>
      <c r="L262" s="26" t="s">
        <v>62</v>
      </c>
      <c r="M262" s="26"/>
      <c r="N262" s="26" t="s">
        <v>100</v>
      </c>
      <c r="O262" s="26" t="n">
        <f aca="false">F262+G262+H262</f>
        <v>6030</v>
      </c>
      <c r="P262" s="28" t="n">
        <f aca="false">IFERROR(O262/I262,0)</f>
        <v>0.0828353595713991</v>
      </c>
    </row>
    <row r="263" customFormat="false" ht="15" hidden="false" customHeight="false" outlineLevel="0" collapsed="false">
      <c r="A263" s="26" t="s">
        <v>366</v>
      </c>
      <c r="B263" s="26" t="s">
        <v>39</v>
      </c>
      <c r="C263" s="27" t="n">
        <v>45675</v>
      </c>
      <c r="D263" s="26" t="s">
        <v>49</v>
      </c>
      <c r="E263" s="26" t="s">
        <v>110</v>
      </c>
      <c r="F263" s="26" t="n">
        <v>1206</v>
      </c>
      <c r="G263" s="26" t="n">
        <v>238</v>
      </c>
      <c r="H263" s="26" t="n">
        <v>36</v>
      </c>
      <c r="I263" s="26" t="n">
        <v>9648</v>
      </c>
      <c r="J263" s="26" t="n">
        <v>9417</v>
      </c>
      <c r="K263" s="26" t="n">
        <v>237</v>
      </c>
      <c r="L263" s="26" t="s">
        <v>62</v>
      </c>
      <c r="M263" s="26" t="s">
        <v>64</v>
      </c>
      <c r="N263" s="26" t="s">
        <v>105</v>
      </c>
      <c r="O263" s="26" t="n">
        <f aca="false">F263+G263+H263</f>
        <v>1480</v>
      </c>
      <c r="P263" s="28" t="n">
        <f aca="false">IFERROR(O263/I263,0)</f>
        <v>0.153399668325041</v>
      </c>
    </row>
    <row r="264" customFormat="false" ht="15" hidden="false" customHeight="false" outlineLevel="0" collapsed="false">
      <c r="A264" s="26" t="s">
        <v>367</v>
      </c>
      <c r="B264" s="26" t="s">
        <v>37</v>
      </c>
      <c r="C264" s="27" t="n">
        <v>45524</v>
      </c>
      <c r="D264" s="26" t="s">
        <v>50</v>
      </c>
      <c r="E264" s="26" t="s">
        <v>96</v>
      </c>
      <c r="F264" s="26" t="n">
        <v>2603</v>
      </c>
      <c r="G264" s="26" t="n">
        <v>690</v>
      </c>
      <c r="H264" s="26" t="n">
        <v>205</v>
      </c>
      <c r="I264" s="26" t="n">
        <v>13015</v>
      </c>
      <c r="J264" s="26" t="n">
        <v>12130</v>
      </c>
      <c r="K264" s="26" t="n">
        <v>20</v>
      </c>
      <c r="L264" s="26" t="s">
        <v>63</v>
      </c>
      <c r="M264" s="26"/>
      <c r="N264" s="26" t="s">
        <v>97</v>
      </c>
      <c r="O264" s="26" t="n">
        <f aca="false">F264+G264+H264</f>
        <v>3498</v>
      </c>
      <c r="P264" s="28" t="n">
        <f aca="false">IFERROR(O264/I264,0)</f>
        <v>0.268766807529773</v>
      </c>
    </row>
    <row r="265" customFormat="false" ht="15" hidden="false" customHeight="false" outlineLevel="0" collapsed="false">
      <c r="A265" s="26" t="s">
        <v>368</v>
      </c>
      <c r="B265" s="26" t="s">
        <v>38</v>
      </c>
      <c r="C265" s="27" t="n">
        <v>45687</v>
      </c>
      <c r="D265" s="26" t="s">
        <v>49</v>
      </c>
      <c r="E265" s="26" t="s">
        <v>110</v>
      </c>
      <c r="F265" s="26" t="n">
        <v>59</v>
      </c>
      <c r="G265" s="26" t="n">
        <v>163</v>
      </c>
      <c r="H265" s="26" t="n">
        <v>93</v>
      </c>
      <c r="I265" s="26" t="n">
        <v>590</v>
      </c>
      <c r="J265" s="26" t="n">
        <v>475</v>
      </c>
      <c r="K265" s="26" t="n">
        <v>293</v>
      </c>
      <c r="L265" s="26" t="s">
        <v>63</v>
      </c>
      <c r="M265" s="26"/>
      <c r="N265" s="26" t="s">
        <v>113</v>
      </c>
      <c r="O265" s="26" t="n">
        <f aca="false">F265+G265+H265</f>
        <v>315</v>
      </c>
      <c r="P265" s="28" t="n">
        <f aca="false">IFERROR(O265/I265,0)</f>
        <v>0.533898305084746</v>
      </c>
    </row>
    <row r="266" customFormat="false" ht="15" hidden="false" customHeight="false" outlineLevel="0" collapsed="false">
      <c r="A266" s="26" t="s">
        <v>369</v>
      </c>
      <c r="B266" s="26" t="s">
        <v>38</v>
      </c>
      <c r="C266" s="27" t="n">
        <v>45708</v>
      </c>
      <c r="D266" s="26" t="s">
        <v>48</v>
      </c>
      <c r="E266" s="26" t="s">
        <v>107</v>
      </c>
      <c r="F266" s="26" t="n">
        <v>1877</v>
      </c>
      <c r="G266" s="26" t="n">
        <v>745</v>
      </c>
      <c r="H266" s="26" t="n">
        <v>225</v>
      </c>
      <c r="I266" s="26" t="n">
        <v>11262</v>
      </c>
      <c r="J266" s="26" t="n">
        <v>10967</v>
      </c>
      <c r="K266" s="26" t="n">
        <v>41</v>
      </c>
      <c r="L266" s="26" t="s">
        <v>64</v>
      </c>
      <c r="M266" s="26" t="s">
        <v>62</v>
      </c>
      <c r="N266" s="26" t="s">
        <v>97</v>
      </c>
      <c r="O266" s="26" t="n">
        <f aca="false">F266+G266+H266</f>
        <v>2847</v>
      </c>
      <c r="P266" s="28" t="n">
        <f aca="false">IFERROR(O266/I266,0)</f>
        <v>0.252797016515717</v>
      </c>
    </row>
    <row r="267" customFormat="false" ht="15" hidden="false" customHeight="false" outlineLevel="0" collapsed="false">
      <c r="A267" s="26" t="s">
        <v>370</v>
      </c>
      <c r="B267" s="26" t="s">
        <v>36</v>
      </c>
      <c r="C267" s="27" t="n">
        <v>45621</v>
      </c>
      <c r="D267" s="26" t="s">
        <v>51</v>
      </c>
      <c r="E267" s="26" t="s">
        <v>103</v>
      </c>
      <c r="F267" s="26" t="n">
        <v>4182</v>
      </c>
      <c r="G267" s="26" t="n">
        <v>640</v>
      </c>
      <c r="H267" s="26" t="n">
        <v>240</v>
      </c>
      <c r="I267" s="26" t="n">
        <v>50184</v>
      </c>
      <c r="J267" s="26" t="n">
        <v>49351</v>
      </c>
      <c r="K267" s="26" t="n">
        <v>10</v>
      </c>
      <c r="L267" s="26" t="s">
        <v>62</v>
      </c>
      <c r="M267" s="26" t="s">
        <v>64</v>
      </c>
      <c r="N267" s="26" t="s">
        <v>105</v>
      </c>
      <c r="O267" s="26" t="n">
        <f aca="false">F267+G267+H267</f>
        <v>5062</v>
      </c>
      <c r="P267" s="28" t="n">
        <f aca="false">IFERROR(O267/I267,0)</f>
        <v>0.100868802805675</v>
      </c>
    </row>
    <row r="268" customFormat="false" ht="15" hidden="false" customHeight="false" outlineLevel="0" collapsed="false">
      <c r="A268" s="26" t="s">
        <v>371</v>
      </c>
      <c r="B268" s="26" t="s">
        <v>38</v>
      </c>
      <c r="C268" s="27" t="n">
        <v>45569</v>
      </c>
      <c r="D268" s="26" t="s">
        <v>50</v>
      </c>
      <c r="E268" s="26" t="s">
        <v>96</v>
      </c>
      <c r="F268" s="26" t="n">
        <v>4187</v>
      </c>
      <c r="G268" s="26" t="n">
        <v>66</v>
      </c>
      <c r="H268" s="26" t="n">
        <v>31</v>
      </c>
      <c r="I268" s="26" t="n">
        <v>66992</v>
      </c>
      <c r="J268" s="26" t="n">
        <v>66614</v>
      </c>
      <c r="K268" s="26" t="n">
        <v>62</v>
      </c>
      <c r="L268" s="26" t="s">
        <v>64</v>
      </c>
      <c r="M268" s="26"/>
      <c r="N268" s="26" t="s">
        <v>113</v>
      </c>
      <c r="O268" s="26" t="n">
        <f aca="false">F268+G268+H268</f>
        <v>4284</v>
      </c>
      <c r="P268" s="28" t="n">
        <f aca="false">IFERROR(O268/I268,0)</f>
        <v>0.0639479340816814</v>
      </c>
    </row>
    <row r="269" customFormat="false" ht="15" hidden="false" customHeight="false" outlineLevel="0" collapsed="false">
      <c r="A269" s="26" t="s">
        <v>372</v>
      </c>
      <c r="B269" s="26" t="s">
        <v>37</v>
      </c>
      <c r="C269" s="27" t="n">
        <v>45760</v>
      </c>
      <c r="D269" s="26" t="s">
        <v>50</v>
      </c>
      <c r="E269" s="26" t="s">
        <v>96</v>
      </c>
      <c r="F269" s="26" t="n">
        <v>4579</v>
      </c>
      <c r="G269" s="26" t="n">
        <v>125</v>
      </c>
      <c r="H269" s="26" t="n">
        <v>300</v>
      </c>
      <c r="I269" s="26" t="n">
        <v>59527</v>
      </c>
      <c r="J269" s="26" t="n">
        <v>59400</v>
      </c>
      <c r="K269" s="26" t="n">
        <v>269</v>
      </c>
      <c r="L269" s="26" t="s">
        <v>64</v>
      </c>
      <c r="M269" s="26" t="s">
        <v>61</v>
      </c>
      <c r="N269" s="26" t="s">
        <v>97</v>
      </c>
      <c r="O269" s="26" t="n">
        <f aca="false">F269+G269+H269</f>
        <v>5004</v>
      </c>
      <c r="P269" s="28" t="n">
        <f aca="false">IFERROR(O269/I269,0)</f>
        <v>0.0840626942395888</v>
      </c>
    </row>
    <row r="270" customFormat="false" ht="15" hidden="false" customHeight="false" outlineLevel="0" collapsed="false">
      <c r="A270" s="26" t="s">
        <v>373</v>
      </c>
      <c r="B270" s="26" t="s">
        <v>37</v>
      </c>
      <c r="C270" s="27" t="n">
        <v>45601</v>
      </c>
      <c r="D270" s="26" t="s">
        <v>53</v>
      </c>
      <c r="E270" s="26" t="s">
        <v>119</v>
      </c>
      <c r="F270" s="26" t="n">
        <v>4561</v>
      </c>
      <c r="G270" s="26" t="n">
        <v>51</v>
      </c>
      <c r="H270" s="26" t="n">
        <v>441</v>
      </c>
      <c r="I270" s="26" t="n">
        <v>22805</v>
      </c>
      <c r="J270" s="26" t="n">
        <v>21890</v>
      </c>
      <c r="K270" s="26" t="n">
        <v>45</v>
      </c>
      <c r="L270" s="26" t="s">
        <v>64</v>
      </c>
      <c r="M270" s="26"/>
      <c r="N270" s="26" t="s">
        <v>100</v>
      </c>
      <c r="O270" s="26" t="n">
        <f aca="false">F270+G270+H270</f>
        <v>5053</v>
      </c>
      <c r="P270" s="28" t="n">
        <f aca="false">IFERROR(O270/I270,0)</f>
        <v>0.221574216180662</v>
      </c>
    </row>
    <row r="271" customFormat="false" ht="15" hidden="false" customHeight="false" outlineLevel="0" collapsed="false">
      <c r="A271" s="26" t="s">
        <v>374</v>
      </c>
      <c r="B271" s="26" t="s">
        <v>39</v>
      </c>
      <c r="C271" s="27" t="n">
        <v>45672</v>
      </c>
      <c r="D271" s="26" t="s">
        <v>50</v>
      </c>
      <c r="E271" s="26" t="s">
        <v>96</v>
      </c>
      <c r="F271" s="26" t="n">
        <v>3774</v>
      </c>
      <c r="G271" s="26" t="n">
        <v>239</v>
      </c>
      <c r="H271" s="26" t="n">
        <v>39</v>
      </c>
      <c r="I271" s="26" t="n">
        <v>60384</v>
      </c>
      <c r="J271" s="26" t="n">
        <v>59490</v>
      </c>
      <c r="K271" s="26" t="n">
        <v>241</v>
      </c>
      <c r="L271" s="26" t="s">
        <v>60</v>
      </c>
      <c r="M271" s="26"/>
      <c r="N271" s="26" t="s">
        <v>105</v>
      </c>
      <c r="O271" s="26" t="n">
        <f aca="false">F271+G271+H271</f>
        <v>4052</v>
      </c>
      <c r="P271" s="28" t="n">
        <f aca="false">IFERROR(O271/I271,0)</f>
        <v>0.0671038685744568</v>
      </c>
    </row>
    <row r="272" customFormat="false" ht="15" hidden="false" customHeight="false" outlineLevel="0" collapsed="false">
      <c r="A272" s="26" t="s">
        <v>375</v>
      </c>
      <c r="B272" s="26" t="s">
        <v>37</v>
      </c>
      <c r="C272" s="27" t="n">
        <v>45582</v>
      </c>
      <c r="D272" s="26" t="s">
        <v>53</v>
      </c>
      <c r="E272" s="26" t="s">
        <v>119</v>
      </c>
      <c r="F272" s="26" t="n">
        <v>3575</v>
      </c>
      <c r="G272" s="26" t="n">
        <v>749</v>
      </c>
      <c r="H272" s="26" t="n">
        <v>111</v>
      </c>
      <c r="I272" s="26" t="n">
        <v>21450</v>
      </c>
      <c r="J272" s="26" t="n">
        <v>20785</v>
      </c>
      <c r="K272" s="26" t="n">
        <v>195</v>
      </c>
      <c r="L272" s="26" t="s">
        <v>60</v>
      </c>
      <c r="M272" s="26"/>
      <c r="N272" s="26" t="s">
        <v>105</v>
      </c>
      <c r="O272" s="26" t="n">
        <f aca="false">F272+G272+H272</f>
        <v>4435</v>
      </c>
      <c r="P272" s="28" t="n">
        <f aca="false">IFERROR(O272/I272,0)</f>
        <v>0.206759906759907</v>
      </c>
    </row>
    <row r="273" customFormat="false" ht="15" hidden="false" customHeight="false" outlineLevel="0" collapsed="false">
      <c r="A273" s="26" t="s">
        <v>376</v>
      </c>
      <c r="B273" s="26" t="s">
        <v>37</v>
      </c>
      <c r="C273" s="27" t="n">
        <v>45743</v>
      </c>
      <c r="D273" s="26" t="s">
        <v>52</v>
      </c>
      <c r="E273" s="26" t="s">
        <v>99</v>
      </c>
      <c r="F273" s="26" t="n">
        <v>4941</v>
      </c>
      <c r="G273" s="26" t="n">
        <v>414</v>
      </c>
      <c r="H273" s="26" t="n">
        <v>266</v>
      </c>
      <c r="I273" s="26" t="n">
        <v>39528</v>
      </c>
      <c r="J273" s="26" t="n">
        <v>39154</v>
      </c>
      <c r="K273" s="26" t="n">
        <v>217</v>
      </c>
      <c r="L273" s="26" t="s">
        <v>62</v>
      </c>
      <c r="M273" s="26"/>
      <c r="N273" s="26" t="s">
        <v>100</v>
      </c>
      <c r="O273" s="26" t="n">
        <f aca="false">F273+G273+H273</f>
        <v>5621</v>
      </c>
      <c r="P273" s="28" t="n">
        <f aca="false">IFERROR(O273/I273,0)</f>
        <v>0.142202995345072</v>
      </c>
    </row>
    <row r="274" customFormat="false" ht="15" hidden="false" customHeight="false" outlineLevel="0" collapsed="false">
      <c r="A274" s="26" t="s">
        <v>377</v>
      </c>
      <c r="B274" s="26" t="s">
        <v>39</v>
      </c>
      <c r="C274" s="27" t="n">
        <v>45577</v>
      </c>
      <c r="D274" s="26" t="s">
        <v>51</v>
      </c>
      <c r="E274" s="26" t="s">
        <v>103</v>
      </c>
      <c r="F274" s="26" t="n">
        <v>3641</v>
      </c>
      <c r="G274" s="26" t="n">
        <v>226</v>
      </c>
      <c r="H274" s="26" t="n">
        <v>46</v>
      </c>
      <c r="I274" s="26" t="n">
        <v>40051</v>
      </c>
      <c r="J274" s="26" t="n">
        <v>39319</v>
      </c>
      <c r="K274" s="26" t="n">
        <v>296</v>
      </c>
      <c r="L274" s="26" t="s">
        <v>63</v>
      </c>
      <c r="M274" s="26"/>
      <c r="N274" s="26" t="s">
        <v>100</v>
      </c>
      <c r="O274" s="26" t="n">
        <f aca="false">F274+G274+H274</f>
        <v>3913</v>
      </c>
      <c r="P274" s="28" t="n">
        <f aca="false">IFERROR(O274/I274,0)</f>
        <v>0.0977004319492647</v>
      </c>
    </row>
    <row r="275" customFormat="false" ht="15" hidden="false" customHeight="false" outlineLevel="0" collapsed="false">
      <c r="A275" s="26" t="s">
        <v>378</v>
      </c>
      <c r="B275" s="26" t="s">
        <v>38</v>
      </c>
      <c r="C275" s="27" t="n">
        <v>45658</v>
      </c>
      <c r="D275" s="26" t="s">
        <v>48</v>
      </c>
      <c r="E275" s="26" t="s">
        <v>107</v>
      </c>
      <c r="F275" s="26" t="n">
        <v>3535</v>
      </c>
      <c r="G275" s="26" t="n">
        <v>494</v>
      </c>
      <c r="H275" s="26" t="n">
        <v>152</v>
      </c>
      <c r="I275" s="26" t="n">
        <v>53025</v>
      </c>
      <c r="J275" s="26" t="n">
        <v>52791</v>
      </c>
      <c r="K275" s="26" t="n">
        <v>44</v>
      </c>
      <c r="L275" s="26" t="s">
        <v>63</v>
      </c>
      <c r="M275" s="26" t="s">
        <v>64</v>
      </c>
      <c r="N275" s="26" t="s">
        <v>100</v>
      </c>
      <c r="O275" s="26" t="n">
        <f aca="false">F275+G275+H275</f>
        <v>4181</v>
      </c>
      <c r="P275" s="28" t="n">
        <f aca="false">IFERROR(O275/I275,0)</f>
        <v>0.0788495992456389</v>
      </c>
    </row>
    <row r="276" customFormat="false" ht="15" hidden="false" customHeight="false" outlineLevel="0" collapsed="false">
      <c r="A276" s="26" t="s">
        <v>379</v>
      </c>
      <c r="B276" s="26" t="s">
        <v>36</v>
      </c>
      <c r="C276" s="27" t="n">
        <v>45509</v>
      </c>
      <c r="D276" s="26" t="s">
        <v>50</v>
      </c>
      <c r="E276" s="26" t="s">
        <v>96</v>
      </c>
      <c r="F276" s="26" t="n">
        <v>1741</v>
      </c>
      <c r="G276" s="26" t="n">
        <v>831</v>
      </c>
      <c r="H276" s="26" t="n">
        <v>345</v>
      </c>
      <c r="I276" s="26" t="n">
        <v>17410</v>
      </c>
      <c r="J276" s="26" t="n">
        <v>16844</v>
      </c>
      <c r="K276" s="26" t="n">
        <v>58</v>
      </c>
      <c r="L276" s="26" t="s">
        <v>61</v>
      </c>
      <c r="M276" s="26" t="s">
        <v>60</v>
      </c>
      <c r="N276" s="26" t="s">
        <v>113</v>
      </c>
      <c r="O276" s="26" t="n">
        <f aca="false">F276+G276+H276</f>
        <v>2917</v>
      </c>
      <c r="P276" s="28" t="n">
        <f aca="false">IFERROR(O276/I276,0)</f>
        <v>0.167547386559449</v>
      </c>
    </row>
    <row r="277" customFormat="false" ht="15" hidden="false" customHeight="false" outlineLevel="0" collapsed="false">
      <c r="A277" s="26" t="s">
        <v>380</v>
      </c>
      <c r="B277" s="26" t="s">
        <v>38</v>
      </c>
      <c r="C277" s="27" t="n">
        <v>45450</v>
      </c>
      <c r="D277" s="26" t="s">
        <v>48</v>
      </c>
      <c r="E277" s="26" t="s">
        <v>107</v>
      </c>
      <c r="F277" s="26" t="n">
        <v>1556</v>
      </c>
      <c r="G277" s="26" t="n">
        <v>195</v>
      </c>
      <c r="H277" s="26" t="n">
        <v>131</v>
      </c>
      <c r="I277" s="26" t="n">
        <v>9336</v>
      </c>
      <c r="J277" s="26" t="n">
        <v>8875</v>
      </c>
      <c r="K277" s="26" t="n">
        <v>137</v>
      </c>
      <c r="L277" s="26" t="s">
        <v>61</v>
      </c>
      <c r="M277" s="26"/>
      <c r="N277" s="26" t="s">
        <v>100</v>
      </c>
      <c r="O277" s="26" t="n">
        <f aca="false">F277+G277+H277</f>
        <v>1882</v>
      </c>
      <c r="P277" s="28" t="n">
        <f aca="false">IFERROR(O277/I277,0)</f>
        <v>0.201585261353899</v>
      </c>
    </row>
    <row r="278" customFormat="false" ht="15" hidden="false" customHeight="false" outlineLevel="0" collapsed="false">
      <c r="A278" s="26" t="s">
        <v>381</v>
      </c>
      <c r="B278" s="26" t="s">
        <v>36</v>
      </c>
      <c r="C278" s="27" t="n">
        <v>45753</v>
      </c>
      <c r="D278" s="26" t="s">
        <v>49</v>
      </c>
      <c r="E278" s="26" t="s">
        <v>110</v>
      </c>
      <c r="F278" s="26" t="n">
        <v>4236</v>
      </c>
      <c r="G278" s="26" t="n">
        <v>711</v>
      </c>
      <c r="H278" s="26" t="n">
        <v>298</v>
      </c>
      <c r="I278" s="26" t="n">
        <v>21180</v>
      </c>
      <c r="J278" s="26" t="n">
        <v>20516</v>
      </c>
      <c r="K278" s="26" t="n">
        <v>238</v>
      </c>
      <c r="L278" s="26" t="s">
        <v>63</v>
      </c>
      <c r="M278" s="26" t="s">
        <v>62</v>
      </c>
      <c r="N278" s="26" t="s">
        <v>113</v>
      </c>
      <c r="O278" s="26" t="n">
        <f aca="false">F278+G278+H278</f>
        <v>5245</v>
      </c>
      <c r="P278" s="28" t="n">
        <f aca="false">IFERROR(O278/I278,0)</f>
        <v>0.247639282341832</v>
      </c>
    </row>
    <row r="279" customFormat="false" ht="15" hidden="false" customHeight="false" outlineLevel="0" collapsed="false">
      <c r="A279" s="26" t="s">
        <v>382</v>
      </c>
      <c r="B279" s="26" t="s">
        <v>38</v>
      </c>
      <c r="C279" s="27" t="n">
        <v>45622</v>
      </c>
      <c r="D279" s="26" t="s">
        <v>52</v>
      </c>
      <c r="E279" s="26" t="s">
        <v>99</v>
      </c>
      <c r="F279" s="26" t="n">
        <v>4516</v>
      </c>
      <c r="G279" s="26" t="n">
        <v>836</v>
      </c>
      <c r="H279" s="26" t="n">
        <v>169</v>
      </c>
      <c r="I279" s="26" t="n">
        <v>49676</v>
      </c>
      <c r="J279" s="26" t="n">
        <v>49257</v>
      </c>
      <c r="K279" s="26" t="n">
        <v>282</v>
      </c>
      <c r="L279" s="26" t="s">
        <v>63</v>
      </c>
      <c r="M279" s="26"/>
      <c r="N279" s="26" t="s">
        <v>97</v>
      </c>
      <c r="O279" s="26" t="n">
        <f aca="false">F279+G279+H279</f>
        <v>5521</v>
      </c>
      <c r="P279" s="28" t="n">
        <f aca="false">IFERROR(O279/I279,0)</f>
        <v>0.111140188420968</v>
      </c>
    </row>
    <row r="280" customFormat="false" ht="15" hidden="false" customHeight="false" outlineLevel="0" collapsed="false">
      <c r="A280" s="26" t="s">
        <v>383</v>
      </c>
      <c r="B280" s="26" t="s">
        <v>39</v>
      </c>
      <c r="C280" s="27" t="n">
        <v>45537</v>
      </c>
      <c r="D280" s="26" t="s">
        <v>49</v>
      </c>
      <c r="E280" s="26" t="s">
        <v>110</v>
      </c>
      <c r="F280" s="26" t="n">
        <v>4905</v>
      </c>
      <c r="G280" s="26" t="n">
        <v>845</v>
      </c>
      <c r="H280" s="26" t="n">
        <v>129</v>
      </c>
      <c r="I280" s="26" t="n">
        <v>98100</v>
      </c>
      <c r="J280" s="26" t="n">
        <v>97772</v>
      </c>
      <c r="K280" s="26" t="n">
        <v>279</v>
      </c>
      <c r="L280" s="26" t="s">
        <v>63</v>
      </c>
      <c r="M280" s="26"/>
      <c r="N280" s="26" t="s">
        <v>113</v>
      </c>
      <c r="O280" s="26" t="n">
        <f aca="false">F280+G280+H280</f>
        <v>5879</v>
      </c>
      <c r="P280" s="28" t="n">
        <f aca="false">IFERROR(O280/I280,0)</f>
        <v>0.0599286442405708</v>
      </c>
    </row>
    <row r="281" customFormat="false" ht="15" hidden="false" customHeight="false" outlineLevel="0" collapsed="false">
      <c r="A281" s="26" t="s">
        <v>384</v>
      </c>
      <c r="B281" s="26" t="s">
        <v>39</v>
      </c>
      <c r="C281" s="27" t="n">
        <v>45586</v>
      </c>
      <c r="D281" s="26" t="s">
        <v>53</v>
      </c>
      <c r="E281" s="26" t="s">
        <v>119</v>
      </c>
      <c r="F281" s="26" t="n">
        <v>4275</v>
      </c>
      <c r="G281" s="26" t="n">
        <v>680</v>
      </c>
      <c r="H281" s="26" t="n">
        <v>385</v>
      </c>
      <c r="I281" s="26" t="n">
        <v>64125</v>
      </c>
      <c r="J281" s="26" t="n">
        <v>63650</v>
      </c>
      <c r="K281" s="26" t="n">
        <v>104</v>
      </c>
      <c r="L281" s="26" t="s">
        <v>64</v>
      </c>
      <c r="M281" s="26"/>
      <c r="N281" s="26" t="s">
        <v>113</v>
      </c>
      <c r="O281" s="26" t="n">
        <f aca="false">F281+G281+H281</f>
        <v>5340</v>
      </c>
      <c r="P281" s="28" t="n">
        <f aca="false">IFERROR(O281/I281,0)</f>
        <v>0.0832748538011696</v>
      </c>
    </row>
    <row r="282" customFormat="false" ht="15" hidden="false" customHeight="false" outlineLevel="0" collapsed="false">
      <c r="A282" s="26" t="s">
        <v>385</v>
      </c>
      <c r="B282" s="26" t="s">
        <v>39</v>
      </c>
      <c r="C282" s="27" t="n">
        <v>45738</v>
      </c>
      <c r="D282" s="26" t="s">
        <v>49</v>
      </c>
      <c r="E282" s="26" t="s">
        <v>110</v>
      </c>
      <c r="F282" s="26" t="n">
        <v>3166</v>
      </c>
      <c r="G282" s="26" t="n">
        <v>90</v>
      </c>
      <c r="H282" s="26" t="n">
        <v>341</v>
      </c>
      <c r="I282" s="26" t="n">
        <v>56988</v>
      </c>
      <c r="J282" s="26" t="n">
        <v>56125</v>
      </c>
      <c r="K282" s="26" t="n">
        <v>135</v>
      </c>
      <c r="L282" s="26" t="s">
        <v>61</v>
      </c>
      <c r="M282" s="26" t="s">
        <v>64</v>
      </c>
      <c r="N282" s="26" t="s">
        <v>100</v>
      </c>
      <c r="O282" s="26" t="n">
        <f aca="false">F282+G282+H282</f>
        <v>3597</v>
      </c>
      <c r="P282" s="28" t="n">
        <f aca="false">IFERROR(O282/I282,0)</f>
        <v>0.0631185512739524</v>
      </c>
    </row>
    <row r="283" customFormat="false" ht="15" hidden="false" customHeight="false" outlineLevel="0" collapsed="false">
      <c r="A283" s="26" t="s">
        <v>386</v>
      </c>
      <c r="B283" s="26" t="s">
        <v>37</v>
      </c>
      <c r="C283" s="27" t="n">
        <v>45568</v>
      </c>
      <c r="D283" s="26" t="s">
        <v>53</v>
      </c>
      <c r="E283" s="26" t="s">
        <v>119</v>
      </c>
      <c r="F283" s="26" t="n">
        <v>1488</v>
      </c>
      <c r="G283" s="26" t="n">
        <v>417</v>
      </c>
      <c r="H283" s="26" t="n">
        <v>168</v>
      </c>
      <c r="I283" s="26" t="n">
        <v>19344</v>
      </c>
      <c r="J283" s="26" t="n">
        <v>18395</v>
      </c>
      <c r="K283" s="26" t="n">
        <v>30</v>
      </c>
      <c r="L283" s="26" t="s">
        <v>62</v>
      </c>
      <c r="M283" s="26"/>
      <c r="N283" s="26" t="s">
        <v>97</v>
      </c>
      <c r="O283" s="26" t="n">
        <f aca="false">F283+G283+H283</f>
        <v>2073</v>
      </c>
      <c r="P283" s="28" t="n">
        <f aca="false">IFERROR(O283/I283,0)</f>
        <v>0.107165012406948</v>
      </c>
    </row>
    <row r="284" customFormat="false" ht="15" hidden="false" customHeight="false" outlineLevel="0" collapsed="false">
      <c r="A284" s="26" t="s">
        <v>387</v>
      </c>
      <c r="B284" s="26" t="s">
        <v>38</v>
      </c>
      <c r="C284" s="27" t="n">
        <v>45786</v>
      </c>
      <c r="D284" s="26" t="s">
        <v>50</v>
      </c>
      <c r="E284" s="26" t="s">
        <v>96</v>
      </c>
      <c r="F284" s="26" t="n">
        <v>3367</v>
      </c>
      <c r="G284" s="26" t="n">
        <v>302</v>
      </c>
      <c r="H284" s="26" t="n">
        <v>57</v>
      </c>
      <c r="I284" s="26" t="n">
        <v>63973</v>
      </c>
      <c r="J284" s="26" t="n">
        <v>63789</v>
      </c>
      <c r="K284" s="26" t="n">
        <v>157</v>
      </c>
      <c r="L284" s="26" t="s">
        <v>63</v>
      </c>
      <c r="M284" s="26" t="s">
        <v>61</v>
      </c>
      <c r="N284" s="26" t="s">
        <v>105</v>
      </c>
      <c r="O284" s="26" t="n">
        <f aca="false">F284+G284+H284</f>
        <v>3726</v>
      </c>
      <c r="P284" s="28" t="n">
        <f aca="false">IFERROR(O284/I284,0)</f>
        <v>0.0582433214012161</v>
      </c>
    </row>
    <row r="285" customFormat="false" ht="15" hidden="false" customHeight="false" outlineLevel="0" collapsed="false">
      <c r="A285" s="26" t="s">
        <v>388</v>
      </c>
      <c r="B285" s="26" t="s">
        <v>38</v>
      </c>
      <c r="C285" s="27" t="n">
        <v>45552</v>
      </c>
      <c r="D285" s="26" t="s">
        <v>52</v>
      </c>
      <c r="E285" s="26" t="s">
        <v>99</v>
      </c>
      <c r="F285" s="26" t="n">
        <v>571</v>
      </c>
      <c r="G285" s="26" t="n">
        <v>190</v>
      </c>
      <c r="H285" s="26" t="n">
        <v>352</v>
      </c>
      <c r="I285" s="26" t="n">
        <v>9707</v>
      </c>
      <c r="J285" s="26" t="n">
        <v>9418</v>
      </c>
      <c r="K285" s="26" t="n">
        <v>231</v>
      </c>
      <c r="L285" s="26" t="s">
        <v>60</v>
      </c>
      <c r="M285" s="26"/>
      <c r="N285" s="26" t="s">
        <v>100</v>
      </c>
      <c r="O285" s="26" t="n">
        <f aca="false">F285+G285+H285</f>
        <v>1113</v>
      </c>
      <c r="P285" s="28" t="n">
        <f aca="false">IFERROR(O285/I285,0)</f>
        <v>0.114659524054806</v>
      </c>
    </row>
    <row r="286" customFormat="false" ht="15" hidden="false" customHeight="false" outlineLevel="0" collapsed="false">
      <c r="A286" s="26" t="s">
        <v>389</v>
      </c>
      <c r="B286" s="26" t="s">
        <v>39</v>
      </c>
      <c r="C286" s="27" t="n">
        <v>45491</v>
      </c>
      <c r="D286" s="26" t="s">
        <v>52</v>
      </c>
      <c r="E286" s="26" t="s">
        <v>99</v>
      </c>
      <c r="F286" s="26" t="n">
        <v>4021</v>
      </c>
      <c r="G286" s="26" t="n">
        <v>794</v>
      </c>
      <c r="H286" s="26" t="n">
        <v>77</v>
      </c>
      <c r="I286" s="26" t="n">
        <v>36189</v>
      </c>
      <c r="J286" s="26" t="n">
        <v>35505</v>
      </c>
      <c r="K286" s="26" t="n">
        <v>174</v>
      </c>
      <c r="L286" s="26" t="s">
        <v>60</v>
      </c>
      <c r="M286" s="26" t="s">
        <v>64</v>
      </c>
      <c r="N286" s="26" t="s">
        <v>97</v>
      </c>
      <c r="O286" s="26" t="n">
        <f aca="false">F286+G286+H286</f>
        <v>4892</v>
      </c>
      <c r="P286" s="28" t="n">
        <f aca="false">IFERROR(O286/I286,0)</f>
        <v>0.13517919809887</v>
      </c>
    </row>
    <row r="287" customFormat="false" ht="15" hidden="false" customHeight="false" outlineLevel="0" collapsed="false">
      <c r="A287" s="26" t="s">
        <v>390</v>
      </c>
      <c r="B287" s="26" t="s">
        <v>39</v>
      </c>
      <c r="C287" s="27" t="n">
        <v>45560</v>
      </c>
      <c r="D287" s="26" t="s">
        <v>53</v>
      </c>
      <c r="E287" s="26" t="s">
        <v>119</v>
      </c>
      <c r="F287" s="26" t="n">
        <v>3389</v>
      </c>
      <c r="G287" s="26" t="n">
        <v>344</v>
      </c>
      <c r="H287" s="26" t="n">
        <v>229</v>
      </c>
      <c r="I287" s="26" t="n">
        <v>20334</v>
      </c>
      <c r="J287" s="26" t="n">
        <v>19443</v>
      </c>
      <c r="K287" s="26" t="n">
        <v>228</v>
      </c>
      <c r="L287" s="26" t="s">
        <v>61</v>
      </c>
      <c r="M287" s="26" t="s">
        <v>62</v>
      </c>
      <c r="N287" s="26" t="s">
        <v>100</v>
      </c>
      <c r="O287" s="26" t="n">
        <f aca="false">F287+G287+H287</f>
        <v>3962</v>
      </c>
      <c r="P287" s="28" t="n">
        <f aca="false">IFERROR(O287/I287,0)</f>
        <v>0.194846070620635</v>
      </c>
    </row>
    <row r="288" customFormat="false" ht="15" hidden="false" customHeight="false" outlineLevel="0" collapsed="false">
      <c r="A288" s="26" t="s">
        <v>391</v>
      </c>
      <c r="B288" s="26" t="s">
        <v>37</v>
      </c>
      <c r="C288" s="27" t="n">
        <v>45519</v>
      </c>
      <c r="D288" s="26" t="s">
        <v>50</v>
      </c>
      <c r="E288" s="26" t="s">
        <v>96</v>
      </c>
      <c r="F288" s="26" t="n">
        <v>1164</v>
      </c>
      <c r="G288" s="26" t="n">
        <v>616</v>
      </c>
      <c r="H288" s="26" t="n">
        <v>324</v>
      </c>
      <c r="I288" s="26" t="n">
        <v>6984</v>
      </c>
      <c r="J288" s="26" t="n">
        <v>6636</v>
      </c>
      <c r="K288" s="26" t="n">
        <v>82</v>
      </c>
      <c r="L288" s="26" t="s">
        <v>61</v>
      </c>
      <c r="M288" s="26" t="s">
        <v>63</v>
      </c>
      <c r="N288" s="26" t="s">
        <v>105</v>
      </c>
      <c r="O288" s="26" t="n">
        <f aca="false">F288+G288+H288</f>
        <v>2104</v>
      </c>
      <c r="P288" s="28" t="n">
        <f aca="false">IFERROR(O288/I288,0)</f>
        <v>0.301260022909507</v>
      </c>
    </row>
    <row r="289" customFormat="false" ht="15" hidden="false" customHeight="false" outlineLevel="0" collapsed="false">
      <c r="A289" s="26" t="s">
        <v>392</v>
      </c>
      <c r="B289" s="26" t="s">
        <v>39</v>
      </c>
      <c r="C289" s="27" t="n">
        <v>45764</v>
      </c>
      <c r="D289" s="26" t="s">
        <v>48</v>
      </c>
      <c r="E289" s="26" t="s">
        <v>107</v>
      </c>
      <c r="F289" s="26" t="n">
        <v>4780</v>
      </c>
      <c r="G289" s="26" t="n">
        <v>691</v>
      </c>
      <c r="H289" s="26" t="n">
        <v>380</v>
      </c>
      <c r="I289" s="26" t="n">
        <v>86040</v>
      </c>
      <c r="J289" s="26" t="n">
        <v>85743</v>
      </c>
      <c r="K289" s="26" t="n">
        <v>262</v>
      </c>
      <c r="L289" s="26" t="s">
        <v>61</v>
      </c>
      <c r="M289" s="26" t="s">
        <v>60</v>
      </c>
      <c r="N289" s="26" t="s">
        <v>105</v>
      </c>
      <c r="O289" s="26" t="n">
        <f aca="false">F289+G289+H289</f>
        <v>5851</v>
      </c>
      <c r="P289" s="28" t="n">
        <f aca="false">IFERROR(O289/I289,0)</f>
        <v>0.0680032543003254</v>
      </c>
    </row>
    <row r="290" customFormat="false" ht="15" hidden="false" customHeight="false" outlineLevel="0" collapsed="false">
      <c r="A290" s="26" t="s">
        <v>393</v>
      </c>
      <c r="B290" s="26" t="s">
        <v>36</v>
      </c>
      <c r="C290" s="27" t="n">
        <v>45624</v>
      </c>
      <c r="D290" s="26" t="s">
        <v>48</v>
      </c>
      <c r="E290" s="26" t="s">
        <v>107</v>
      </c>
      <c r="F290" s="26" t="n">
        <v>2751</v>
      </c>
      <c r="G290" s="26" t="n">
        <v>33</v>
      </c>
      <c r="H290" s="26" t="n">
        <v>430</v>
      </c>
      <c r="I290" s="26" t="n">
        <v>44016</v>
      </c>
      <c r="J290" s="26" t="n">
        <v>43415</v>
      </c>
      <c r="K290" s="26" t="n">
        <v>129</v>
      </c>
      <c r="L290" s="26" t="s">
        <v>63</v>
      </c>
      <c r="M290" s="26" t="s">
        <v>64</v>
      </c>
      <c r="N290" s="26" t="s">
        <v>100</v>
      </c>
      <c r="O290" s="26" t="n">
        <f aca="false">F290+G290+H290</f>
        <v>3214</v>
      </c>
      <c r="P290" s="28" t="n">
        <f aca="false">IFERROR(O290/I290,0)</f>
        <v>0.0730189022173755</v>
      </c>
    </row>
    <row r="291" customFormat="false" ht="15" hidden="false" customHeight="false" outlineLevel="0" collapsed="false">
      <c r="A291" s="26" t="s">
        <v>394</v>
      </c>
      <c r="B291" s="26" t="s">
        <v>37</v>
      </c>
      <c r="C291" s="27" t="n">
        <v>45646</v>
      </c>
      <c r="D291" s="26" t="s">
        <v>48</v>
      </c>
      <c r="E291" s="26" t="s">
        <v>107</v>
      </c>
      <c r="F291" s="26" t="n">
        <v>2107</v>
      </c>
      <c r="G291" s="26" t="n">
        <v>550</v>
      </c>
      <c r="H291" s="26" t="n">
        <v>349</v>
      </c>
      <c r="I291" s="26" t="n">
        <v>35819</v>
      </c>
      <c r="J291" s="26" t="n">
        <v>35340</v>
      </c>
      <c r="K291" s="26" t="n">
        <v>191</v>
      </c>
      <c r="L291" s="26" t="s">
        <v>63</v>
      </c>
      <c r="M291" s="26"/>
      <c r="N291" s="26" t="s">
        <v>105</v>
      </c>
      <c r="O291" s="26" t="n">
        <f aca="false">F291+G291+H291</f>
        <v>3006</v>
      </c>
      <c r="P291" s="28" t="n">
        <f aca="false">IFERROR(O291/I291,0)</f>
        <v>0.083921940869371</v>
      </c>
    </row>
    <row r="292" customFormat="false" ht="15" hidden="false" customHeight="false" outlineLevel="0" collapsed="false">
      <c r="A292" s="26" t="s">
        <v>395</v>
      </c>
      <c r="B292" s="26" t="s">
        <v>36</v>
      </c>
      <c r="C292" s="27" t="n">
        <v>45602</v>
      </c>
      <c r="D292" s="26" t="s">
        <v>53</v>
      </c>
      <c r="E292" s="26" t="s">
        <v>119</v>
      </c>
      <c r="F292" s="26" t="n">
        <v>4663</v>
      </c>
      <c r="G292" s="26" t="n">
        <v>145</v>
      </c>
      <c r="H292" s="26" t="n">
        <v>225</v>
      </c>
      <c r="I292" s="26" t="n">
        <v>69945</v>
      </c>
      <c r="J292" s="26" t="n">
        <v>69596</v>
      </c>
      <c r="K292" s="26" t="n">
        <v>35</v>
      </c>
      <c r="L292" s="26" t="s">
        <v>61</v>
      </c>
      <c r="M292" s="26"/>
      <c r="N292" s="26" t="s">
        <v>100</v>
      </c>
      <c r="O292" s="26" t="n">
        <f aca="false">F292+G292+H292</f>
        <v>5033</v>
      </c>
      <c r="P292" s="28" t="n">
        <f aca="false">IFERROR(O292/I292,0)</f>
        <v>0.0719565372792909</v>
      </c>
    </row>
    <row r="293" customFormat="false" ht="15" hidden="false" customHeight="false" outlineLevel="0" collapsed="false">
      <c r="A293" s="26" t="s">
        <v>396</v>
      </c>
      <c r="B293" s="26" t="s">
        <v>36</v>
      </c>
      <c r="C293" s="27" t="n">
        <v>45613</v>
      </c>
      <c r="D293" s="26" t="s">
        <v>52</v>
      </c>
      <c r="E293" s="26" t="s">
        <v>99</v>
      </c>
      <c r="F293" s="26" t="n">
        <v>880</v>
      </c>
      <c r="G293" s="26" t="n">
        <v>297</v>
      </c>
      <c r="H293" s="26" t="n">
        <v>345</v>
      </c>
      <c r="I293" s="26" t="n">
        <v>12320</v>
      </c>
      <c r="J293" s="26" t="n">
        <v>11978</v>
      </c>
      <c r="K293" s="26" t="n">
        <v>238</v>
      </c>
      <c r="L293" s="26" t="s">
        <v>62</v>
      </c>
      <c r="M293" s="26"/>
      <c r="N293" s="26" t="s">
        <v>100</v>
      </c>
      <c r="O293" s="26" t="n">
        <f aca="false">F293+G293+H293</f>
        <v>1522</v>
      </c>
      <c r="P293" s="28" t="n">
        <f aca="false">IFERROR(O293/I293,0)</f>
        <v>0.123538961038961</v>
      </c>
    </row>
    <row r="294" customFormat="false" ht="15" hidden="false" customHeight="false" outlineLevel="0" collapsed="false">
      <c r="A294" s="26" t="s">
        <v>397</v>
      </c>
      <c r="B294" s="26" t="s">
        <v>36</v>
      </c>
      <c r="C294" s="27" t="n">
        <v>45791</v>
      </c>
      <c r="D294" s="26" t="s">
        <v>52</v>
      </c>
      <c r="E294" s="26" t="s">
        <v>99</v>
      </c>
      <c r="F294" s="26" t="n">
        <v>2634</v>
      </c>
      <c r="G294" s="26" t="n">
        <v>726</v>
      </c>
      <c r="H294" s="26" t="n">
        <v>241</v>
      </c>
      <c r="I294" s="26" t="n">
        <v>28974</v>
      </c>
      <c r="J294" s="26" t="n">
        <v>28102</v>
      </c>
      <c r="K294" s="26" t="n">
        <v>277</v>
      </c>
      <c r="L294" s="26" t="s">
        <v>64</v>
      </c>
      <c r="M294" s="26"/>
      <c r="N294" s="26" t="s">
        <v>105</v>
      </c>
      <c r="O294" s="26" t="n">
        <f aca="false">F294+G294+H294</f>
        <v>3601</v>
      </c>
      <c r="P294" s="28" t="n">
        <f aca="false">IFERROR(O294/I294,0)</f>
        <v>0.124283840684752</v>
      </c>
    </row>
    <row r="295" customFormat="false" ht="15" hidden="false" customHeight="false" outlineLevel="0" collapsed="false">
      <c r="A295" s="26" t="s">
        <v>398</v>
      </c>
      <c r="B295" s="26" t="s">
        <v>36</v>
      </c>
      <c r="C295" s="27" t="n">
        <v>45462</v>
      </c>
      <c r="D295" s="26" t="s">
        <v>48</v>
      </c>
      <c r="E295" s="26" t="s">
        <v>107</v>
      </c>
      <c r="F295" s="26" t="n">
        <v>4731</v>
      </c>
      <c r="G295" s="26" t="n">
        <v>173</v>
      </c>
      <c r="H295" s="26" t="n">
        <v>276</v>
      </c>
      <c r="I295" s="26" t="n">
        <v>28386</v>
      </c>
      <c r="J295" s="26" t="n">
        <v>28185</v>
      </c>
      <c r="K295" s="26" t="n">
        <v>89</v>
      </c>
      <c r="L295" s="26" t="s">
        <v>63</v>
      </c>
      <c r="M295" s="26" t="s">
        <v>61</v>
      </c>
      <c r="N295" s="26" t="s">
        <v>113</v>
      </c>
      <c r="O295" s="26" t="n">
        <f aca="false">F295+G295+H295</f>
        <v>5180</v>
      </c>
      <c r="P295" s="28" t="n">
        <f aca="false">IFERROR(O295/I295,0)</f>
        <v>0.182484323257944</v>
      </c>
    </row>
    <row r="296" customFormat="false" ht="15" hidden="false" customHeight="false" outlineLevel="0" collapsed="false">
      <c r="A296" s="26" t="s">
        <v>399</v>
      </c>
      <c r="B296" s="26" t="s">
        <v>38</v>
      </c>
      <c r="C296" s="27" t="n">
        <v>45783</v>
      </c>
      <c r="D296" s="26" t="s">
        <v>49</v>
      </c>
      <c r="E296" s="26" t="s">
        <v>110</v>
      </c>
      <c r="F296" s="26" t="n">
        <v>1952</v>
      </c>
      <c r="G296" s="26" t="n">
        <v>344</v>
      </c>
      <c r="H296" s="26" t="n">
        <v>287</v>
      </c>
      <c r="I296" s="26" t="n">
        <v>15616</v>
      </c>
      <c r="J296" s="26" t="n">
        <v>15403</v>
      </c>
      <c r="K296" s="26" t="n">
        <v>235</v>
      </c>
      <c r="L296" s="26" t="s">
        <v>62</v>
      </c>
      <c r="M296" s="26" t="s">
        <v>61</v>
      </c>
      <c r="N296" s="26" t="s">
        <v>105</v>
      </c>
      <c r="O296" s="26" t="n">
        <f aca="false">F296+G296+H296</f>
        <v>2583</v>
      </c>
      <c r="P296" s="28" t="n">
        <f aca="false">IFERROR(O296/I296,0)</f>
        <v>0.165407274590164</v>
      </c>
    </row>
    <row r="297" customFormat="false" ht="15" hidden="false" customHeight="false" outlineLevel="0" collapsed="false">
      <c r="A297" s="26" t="s">
        <v>400</v>
      </c>
      <c r="B297" s="26" t="s">
        <v>38</v>
      </c>
      <c r="C297" s="27" t="n">
        <v>45699</v>
      </c>
      <c r="D297" s="26" t="s">
        <v>53</v>
      </c>
      <c r="E297" s="26" t="s">
        <v>119</v>
      </c>
      <c r="F297" s="26" t="n">
        <v>3440</v>
      </c>
      <c r="G297" s="26" t="n">
        <v>13</v>
      </c>
      <c r="H297" s="26" t="n">
        <v>20</v>
      </c>
      <c r="I297" s="26" t="n">
        <v>58480</v>
      </c>
      <c r="J297" s="26" t="n">
        <v>58146</v>
      </c>
      <c r="K297" s="26" t="n">
        <v>210</v>
      </c>
      <c r="L297" s="26" t="s">
        <v>61</v>
      </c>
      <c r="M297" s="26" t="s">
        <v>60</v>
      </c>
      <c r="N297" s="26" t="s">
        <v>97</v>
      </c>
      <c r="O297" s="26" t="n">
        <f aca="false">F297+G297+H297</f>
        <v>3473</v>
      </c>
      <c r="P297" s="28" t="n">
        <f aca="false">IFERROR(O297/I297,0)</f>
        <v>0.0593878248974008</v>
      </c>
    </row>
    <row r="298" customFormat="false" ht="15" hidden="false" customHeight="false" outlineLevel="0" collapsed="false">
      <c r="A298" s="26" t="s">
        <v>401</v>
      </c>
      <c r="B298" s="26" t="s">
        <v>38</v>
      </c>
      <c r="C298" s="27" t="n">
        <v>45650</v>
      </c>
      <c r="D298" s="26" t="s">
        <v>52</v>
      </c>
      <c r="E298" s="26" t="s">
        <v>99</v>
      </c>
      <c r="F298" s="26" t="n">
        <v>2166</v>
      </c>
      <c r="G298" s="26" t="n">
        <v>354</v>
      </c>
      <c r="H298" s="26" t="n">
        <v>117</v>
      </c>
      <c r="I298" s="26" t="n">
        <v>10830</v>
      </c>
      <c r="J298" s="26" t="n">
        <v>10245</v>
      </c>
      <c r="K298" s="26" t="n">
        <v>24</v>
      </c>
      <c r="L298" s="26" t="s">
        <v>64</v>
      </c>
      <c r="M298" s="26" t="s">
        <v>63</v>
      </c>
      <c r="N298" s="26" t="s">
        <v>97</v>
      </c>
      <c r="O298" s="26" t="n">
        <f aca="false">F298+G298+H298</f>
        <v>2637</v>
      </c>
      <c r="P298" s="28" t="n">
        <f aca="false">IFERROR(O298/I298,0)</f>
        <v>0.243490304709141</v>
      </c>
    </row>
    <row r="299" customFormat="false" ht="15" hidden="false" customHeight="false" outlineLevel="0" collapsed="false">
      <c r="A299" s="26" t="s">
        <v>402</v>
      </c>
      <c r="B299" s="26" t="s">
        <v>36</v>
      </c>
      <c r="C299" s="27" t="n">
        <v>45589</v>
      </c>
      <c r="D299" s="26" t="s">
        <v>49</v>
      </c>
      <c r="E299" s="26" t="s">
        <v>110</v>
      </c>
      <c r="F299" s="26" t="n">
        <v>4303</v>
      </c>
      <c r="G299" s="26" t="n">
        <v>451</v>
      </c>
      <c r="H299" s="26" t="n">
        <v>286</v>
      </c>
      <c r="I299" s="26" t="n">
        <v>86060</v>
      </c>
      <c r="J299" s="26" t="n">
        <v>85823</v>
      </c>
      <c r="K299" s="26" t="n">
        <v>14</v>
      </c>
      <c r="L299" s="26" t="s">
        <v>62</v>
      </c>
      <c r="M299" s="26"/>
      <c r="N299" s="26" t="s">
        <v>100</v>
      </c>
      <c r="O299" s="26" t="n">
        <f aca="false">F299+G299+H299</f>
        <v>5040</v>
      </c>
      <c r="P299" s="28" t="n">
        <f aca="false">IFERROR(O299/I299,0)</f>
        <v>0.0585637927027655</v>
      </c>
    </row>
    <row r="300" customFormat="false" ht="15" hidden="false" customHeight="false" outlineLevel="0" collapsed="false">
      <c r="A300" s="26" t="s">
        <v>403</v>
      </c>
      <c r="B300" s="26" t="s">
        <v>36</v>
      </c>
      <c r="C300" s="27" t="n">
        <v>45530</v>
      </c>
      <c r="D300" s="26" t="s">
        <v>49</v>
      </c>
      <c r="E300" s="26" t="s">
        <v>110</v>
      </c>
      <c r="F300" s="26" t="n">
        <v>2581</v>
      </c>
      <c r="G300" s="26" t="n">
        <v>517</v>
      </c>
      <c r="H300" s="26" t="n">
        <v>117</v>
      </c>
      <c r="I300" s="26" t="n">
        <v>23229</v>
      </c>
      <c r="J300" s="26" t="n">
        <v>22331</v>
      </c>
      <c r="K300" s="26" t="n">
        <v>70</v>
      </c>
      <c r="L300" s="26" t="s">
        <v>62</v>
      </c>
      <c r="M300" s="26" t="s">
        <v>64</v>
      </c>
      <c r="N300" s="26" t="s">
        <v>100</v>
      </c>
      <c r="O300" s="26" t="n">
        <f aca="false">F300+G300+H300</f>
        <v>3215</v>
      </c>
      <c r="P300" s="28" t="n">
        <f aca="false">IFERROR(O300/I300,0)</f>
        <v>0.138404580481295</v>
      </c>
    </row>
    <row r="301" customFormat="false" ht="15" hidden="false" customHeight="false" outlineLevel="0" collapsed="false">
      <c r="A301" s="26" t="s">
        <v>404</v>
      </c>
      <c r="B301" s="26" t="s">
        <v>38</v>
      </c>
      <c r="C301" s="27" t="n">
        <v>45535</v>
      </c>
      <c r="D301" s="26" t="s">
        <v>48</v>
      </c>
      <c r="E301" s="26" t="s">
        <v>107</v>
      </c>
      <c r="F301" s="26" t="n">
        <v>4494</v>
      </c>
      <c r="G301" s="26" t="n">
        <v>717</v>
      </c>
      <c r="H301" s="26" t="n">
        <v>45</v>
      </c>
      <c r="I301" s="26" t="n">
        <v>62916</v>
      </c>
      <c r="J301" s="26" t="n">
        <v>62688</v>
      </c>
      <c r="K301" s="26" t="n">
        <v>191</v>
      </c>
      <c r="L301" s="26" t="s">
        <v>61</v>
      </c>
      <c r="M301" s="26"/>
      <c r="N301" s="26" t="s">
        <v>97</v>
      </c>
      <c r="O301" s="26" t="n">
        <f aca="false">F301+G301+H301</f>
        <v>5256</v>
      </c>
      <c r="P301" s="28" t="n">
        <f aca="false">IFERROR(O301/I301,0)</f>
        <v>0.0835399580392905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6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13" t="s">
        <v>405</v>
      </c>
      <c r="B1" s="13" t="s">
        <v>2</v>
      </c>
      <c r="C1" s="13" t="s">
        <v>406</v>
      </c>
      <c r="D1" s="13" t="s">
        <v>407</v>
      </c>
      <c r="E1" s="13" t="s">
        <v>408</v>
      </c>
      <c r="F1" s="13" t="s">
        <v>409</v>
      </c>
      <c r="G1" s="13" t="s">
        <v>33</v>
      </c>
      <c r="H1" s="13" t="s">
        <v>410</v>
      </c>
    </row>
    <row r="2" customFormat="false" ht="15" hidden="false" customHeight="false" outlineLevel="0" collapsed="false">
      <c r="A2" s="27" t="n">
        <v>45446</v>
      </c>
      <c r="B2" s="26" t="s">
        <v>37</v>
      </c>
      <c r="C2" s="26" t="n">
        <v>1135</v>
      </c>
      <c r="D2" s="26" t="n">
        <v>88</v>
      </c>
      <c r="E2" s="26" t="n">
        <v>344084</v>
      </c>
      <c r="F2" s="26" t="n">
        <v>8.06</v>
      </c>
      <c r="G2" s="26" t="n">
        <v>5904</v>
      </c>
      <c r="H2" s="26" t="n">
        <f aca="false">C2-D2</f>
        <v>1047</v>
      </c>
    </row>
    <row r="3" customFormat="false" ht="15" hidden="false" customHeight="false" outlineLevel="0" collapsed="false">
      <c r="A3" s="27" t="n">
        <v>45446</v>
      </c>
      <c r="B3" s="26" t="s">
        <v>36</v>
      </c>
      <c r="C3" s="26" t="n">
        <v>1312</v>
      </c>
      <c r="D3" s="26" t="n">
        <v>310</v>
      </c>
      <c r="E3" s="26" t="n">
        <v>42654</v>
      </c>
      <c r="F3" s="26" t="n">
        <v>4.98</v>
      </c>
      <c r="G3" s="26" t="n">
        <v>9566</v>
      </c>
      <c r="H3" s="26" t="n">
        <f aca="false">C3-D3</f>
        <v>1002</v>
      </c>
    </row>
    <row r="4" customFormat="false" ht="15" hidden="false" customHeight="false" outlineLevel="0" collapsed="false">
      <c r="A4" s="27" t="n">
        <v>45446</v>
      </c>
      <c r="B4" s="26" t="s">
        <v>38</v>
      </c>
      <c r="C4" s="26" t="n">
        <v>584</v>
      </c>
      <c r="D4" s="26" t="n">
        <v>169</v>
      </c>
      <c r="E4" s="26" t="n">
        <v>146834</v>
      </c>
      <c r="F4" s="26" t="n">
        <v>8.31</v>
      </c>
      <c r="G4" s="26" t="n">
        <v>26752</v>
      </c>
      <c r="H4" s="26" t="n">
        <f aca="false">C4-D4</f>
        <v>415</v>
      </c>
    </row>
    <row r="5" customFormat="false" ht="15" hidden="false" customHeight="false" outlineLevel="0" collapsed="false">
      <c r="A5" s="27" t="n">
        <v>45446</v>
      </c>
      <c r="B5" s="26" t="s">
        <v>39</v>
      </c>
      <c r="C5" s="26" t="n">
        <v>1535</v>
      </c>
      <c r="D5" s="26" t="n">
        <v>445</v>
      </c>
      <c r="E5" s="26" t="n">
        <v>395536</v>
      </c>
      <c r="F5" s="26" t="n">
        <v>4.11</v>
      </c>
      <c r="G5" s="26" t="n">
        <v>30671</v>
      </c>
      <c r="H5" s="26" t="n">
        <f aca="false">C5-D5</f>
        <v>1090</v>
      </c>
    </row>
    <row r="6" customFormat="false" ht="15" hidden="false" customHeight="false" outlineLevel="0" collapsed="false">
      <c r="A6" s="27" t="n">
        <v>45453</v>
      </c>
      <c r="B6" s="26" t="s">
        <v>37</v>
      </c>
      <c r="C6" s="26" t="n">
        <v>656</v>
      </c>
      <c r="D6" s="26" t="n">
        <v>139</v>
      </c>
      <c r="E6" s="26" t="n">
        <v>49157</v>
      </c>
      <c r="F6" s="26" t="n">
        <v>9.05</v>
      </c>
      <c r="G6" s="26" t="n">
        <v>9920</v>
      </c>
      <c r="H6" s="26" t="n">
        <f aca="false">C6-D6</f>
        <v>517</v>
      </c>
    </row>
    <row r="7" customFormat="false" ht="15" hidden="false" customHeight="false" outlineLevel="0" collapsed="false">
      <c r="A7" s="27" t="n">
        <v>45453</v>
      </c>
      <c r="B7" s="26" t="s">
        <v>36</v>
      </c>
      <c r="C7" s="26" t="n">
        <v>1697</v>
      </c>
      <c r="D7" s="26" t="n">
        <v>414</v>
      </c>
      <c r="E7" s="26" t="n">
        <v>316555</v>
      </c>
      <c r="F7" s="26" t="n">
        <v>2.37</v>
      </c>
      <c r="G7" s="26" t="n">
        <v>7924</v>
      </c>
      <c r="H7" s="26" t="n">
        <f aca="false">C7-D7</f>
        <v>1283</v>
      </c>
    </row>
    <row r="8" customFormat="false" ht="15" hidden="false" customHeight="false" outlineLevel="0" collapsed="false">
      <c r="A8" s="27" t="n">
        <v>45453</v>
      </c>
      <c r="B8" s="26" t="s">
        <v>38</v>
      </c>
      <c r="C8" s="26" t="n">
        <v>436</v>
      </c>
      <c r="D8" s="26" t="n">
        <v>250</v>
      </c>
      <c r="E8" s="26" t="n">
        <v>254347</v>
      </c>
      <c r="F8" s="26" t="n">
        <v>4.01</v>
      </c>
      <c r="G8" s="26" t="n">
        <v>8912</v>
      </c>
      <c r="H8" s="26" t="n">
        <f aca="false">C8-D8</f>
        <v>186</v>
      </c>
    </row>
    <row r="9" customFormat="false" ht="15" hidden="false" customHeight="false" outlineLevel="0" collapsed="false">
      <c r="A9" s="27" t="n">
        <v>45453</v>
      </c>
      <c r="B9" s="26" t="s">
        <v>39</v>
      </c>
      <c r="C9" s="26" t="n">
        <v>1197</v>
      </c>
      <c r="D9" s="26" t="n">
        <v>203</v>
      </c>
      <c r="E9" s="26" t="n">
        <v>413878</v>
      </c>
      <c r="F9" s="26" t="n">
        <v>3.16</v>
      </c>
      <c r="G9" s="26" t="n">
        <v>21205</v>
      </c>
      <c r="H9" s="26" t="n">
        <f aca="false">C9-D9</f>
        <v>994</v>
      </c>
    </row>
    <row r="10" customFormat="false" ht="15" hidden="false" customHeight="false" outlineLevel="0" collapsed="false">
      <c r="A10" s="27" t="n">
        <v>45460</v>
      </c>
      <c r="B10" s="26" t="s">
        <v>37</v>
      </c>
      <c r="C10" s="26" t="n">
        <v>1048</v>
      </c>
      <c r="D10" s="26" t="n">
        <v>155</v>
      </c>
      <c r="E10" s="26" t="n">
        <v>456946</v>
      </c>
      <c r="F10" s="26" t="n">
        <v>2.46</v>
      </c>
      <c r="G10" s="26" t="n">
        <v>11329</v>
      </c>
      <c r="H10" s="26" t="n">
        <f aca="false">C10-D10</f>
        <v>893</v>
      </c>
    </row>
    <row r="11" customFormat="false" ht="15" hidden="false" customHeight="false" outlineLevel="0" collapsed="false">
      <c r="A11" s="27" t="n">
        <v>45460</v>
      </c>
      <c r="B11" s="26" t="s">
        <v>36</v>
      </c>
      <c r="C11" s="26" t="n">
        <v>1753</v>
      </c>
      <c r="D11" s="26" t="n">
        <v>371</v>
      </c>
      <c r="E11" s="26" t="n">
        <v>169496</v>
      </c>
      <c r="F11" s="26" t="n">
        <v>8.11</v>
      </c>
      <c r="G11" s="26" t="n">
        <v>46670</v>
      </c>
      <c r="H11" s="26" t="n">
        <f aca="false">C11-D11</f>
        <v>1382</v>
      </c>
    </row>
    <row r="12" customFormat="false" ht="15" hidden="false" customHeight="false" outlineLevel="0" collapsed="false">
      <c r="A12" s="27" t="n">
        <v>45460</v>
      </c>
      <c r="B12" s="26" t="s">
        <v>38</v>
      </c>
      <c r="C12" s="26" t="n">
        <v>1335</v>
      </c>
      <c r="D12" s="26" t="n">
        <v>40</v>
      </c>
      <c r="E12" s="26" t="n">
        <v>122732</v>
      </c>
      <c r="F12" s="26" t="n">
        <v>8.19</v>
      </c>
      <c r="G12" s="26" t="n">
        <v>22482</v>
      </c>
      <c r="H12" s="26" t="n">
        <f aca="false">C12-D12</f>
        <v>1295</v>
      </c>
    </row>
    <row r="13" customFormat="false" ht="15" hidden="false" customHeight="false" outlineLevel="0" collapsed="false">
      <c r="A13" s="27" t="n">
        <v>45460</v>
      </c>
      <c r="B13" s="26" t="s">
        <v>39</v>
      </c>
      <c r="C13" s="26" t="n">
        <v>403</v>
      </c>
      <c r="D13" s="26" t="n">
        <v>66</v>
      </c>
      <c r="E13" s="26" t="n">
        <v>382851</v>
      </c>
      <c r="F13" s="26" t="n">
        <v>3.49</v>
      </c>
      <c r="G13" s="26" t="n">
        <v>24313</v>
      </c>
      <c r="H13" s="26" t="n">
        <f aca="false">C13-D13</f>
        <v>337</v>
      </c>
    </row>
    <row r="14" customFormat="false" ht="15" hidden="false" customHeight="false" outlineLevel="0" collapsed="false">
      <c r="A14" s="27" t="n">
        <v>45467</v>
      </c>
      <c r="B14" s="26" t="s">
        <v>37</v>
      </c>
      <c r="C14" s="26" t="n">
        <v>911</v>
      </c>
      <c r="D14" s="26" t="n">
        <v>282</v>
      </c>
      <c r="E14" s="26" t="n">
        <v>35664</v>
      </c>
      <c r="F14" s="26" t="n">
        <v>6.92</v>
      </c>
      <c r="G14" s="26" t="n">
        <v>18050</v>
      </c>
      <c r="H14" s="26" t="n">
        <f aca="false">C14-D14</f>
        <v>629</v>
      </c>
    </row>
    <row r="15" customFormat="false" ht="15" hidden="false" customHeight="false" outlineLevel="0" collapsed="false">
      <c r="A15" s="27" t="n">
        <v>45467</v>
      </c>
      <c r="B15" s="26" t="s">
        <v>36</v>
      </c>
      <c r="C15" s="26" t="n">
        <v>1779</v>
      </c>
      <c r="D15" s="26" t="n">
        <v>109</v>
      </c>
      <c r="E15" s="26" t="n">
        <v>26295</v>
      </c>
      <c r="F15" s="26" t="n">
        <v>9.12</v>
      </c>
      <c r="G15" s="26" t="n">
        <v>30635</v>
      </c>
      <c r="H15" s="26" t="n">
        <f aca="false">C15-D15</f>
        <v>1670</v>
      </c>
    </row>
    <row r="16" customFormat="false" ht="15" hidden="false" customHeight="false" outlineLevel="0" collapsed="false">
      <c r="A16" s="27" t="n">
        <v>45467</v>
      </c>
      <c r="B16" s="26" t="s">
        <v>38</v>
      </c>
      <c r="C16" s="26" t="n">
        <v>1238</v>
      </c>
      <c r="D16" s="26" t="n">
        <v>403</v>
      </c>
      <c r="E16" s="26" t="n">
        <v>298421</v>
      </c>
      <c r="F16" s="26" t="n">
        <v>3.5</v>
      </c>
      <c r="G16" s="26" t="n">
        <v>31280</v>
      </c>
      <c r="H16" s="26" t="n">
        <f aca="false">C16-D16</f>
        <v>835</v>
      </c>
    </row>
    <row r="17" customFormat="false" ht="15" hidden="false" customHeight="false" outlineLevel="0" collapsed="false">
      <c r="A17" s="27" t="n">
        <v>45467</v>
      </c>
      <c r="B17" s="26" t="s">
        <v>39</v>
      </c>
      <c r="C17" s="26" t="n">
        <v>308</v>
      </c>
      <c r="D17" s="26" t="n">
        <v>431</v>
      </c>
      <c r="E17" s="26" t="n">
        <v>426184</v>
      </c>
      <c r="F17" s="26" t="n">
        <v>2.62</v>
      </c>
      <c r="G17" s="26" t="n">
        <v>1783</v>
      </c>
      <c r="H17" s="26" t="n">
        <f aca="false">C17-D17</f>
        <v>-123</v>
      </c>
    </row>
    <row r="18" customFormat="false" ht="15" hidden="false" customHeight="false" outlineLevel="0" collapsed="false">
      <c r="A18" s="27" t="n">
        <v>45474</v>
      </c>
      <c r="B18" s="26" t="s">
        <v>37</v>
      </c>
      <c r="C18" s="26" t="n">
        <v>226</v>
      </c>
      <c r="D18" s="26" t="n">
        <v>445</v>
      </c>
      <c r="E18" s="26" t="n">
        <v>419447</v>
      </c>
      <c r="F18" s="26" t="n">
        <v>9.36</v>
      </c>
      <c r="G18" s="26" t="n">
        <v>9566</v>
      </c>
      <c r="H18" s="26" t="n">
        <f aca="false">C18-D18</f>
        <v>-219</v>
      </c>
    </row>
    <row r="19" customFormat="false" ht="15" hidden="false" customHeight="false" outlineLevel="0" collapsed="false">
      <c r="A19" s="27" t="n">
        <v>45474</v>
      </c>
      <c r="B19" s="26" t="s">
        <v>36</v>
      </c>
      <c r="C19" s="26" t="n">
        <v>505</v>
      </c>
      <c r="D19" s="26" t="n">
        <v>441</v>
      </c>
      <c r="E19" s="26" t="n">
        <v>220020</v>
      </c>
      <c r="F19" s="26" t="n">
        <v>4.48</v>
      </c>
      <c r="G19" s="26" t="n">
        <v>42307</v>
      </c>
      <c r="H19" s="26" t="n">
        <f aca="false">C19-D19</f>
        <v>64</v>
      </c>
    </row>
    <row r="20" customFormat="false" ht="15" hidden="false" customHeight="false" outlineLevel="0" collapsed="false">
      <c r="A20" s="27" t="n">
        <v>45474</v>
      </c>
      <c r="B20" s="26" t="s">
        <v>38</v>
      </c>
      <c r="C20" s="26" t="n">
        <v>1420</v>
      </c>
      <c r="D20" s="26" t="n">
        <v>63</v>
      </c>
      <c r="E20" s="26" t="n">
        <v>315305</v>
      </c>
      <c r="F20" s="26" t="n">
        <v>6.19</v>
      </c>
      <c r="G20" s="26" t="n">
        <v>5914</v>
      </c>
      <c r="H20" s="26" t="n">
        <f aca="false">C20-D20</f>
        <v>1357</v>
      </c>
    </row>
    <row r="21" customFormat="false" ht="15" hidden="false" customHeight="false" outlineLevel="0" collapsed="false">
      <c r="A21" s="27" t="n">
        <v>45474</v>
      </c>
      <c r="B21" s="26" t="s">
        <v>39</v>
      </c>
      <c r="C21" s="26" t="n">
        <v>144</v>
      </c>
      <c r="D21" s="26" t="n">
        <v>53</v>
      </c>
      <c r="E21" s="26" t="n">
        <v>113678</v>
      </c>
      <c r="F21" s="26" t="n">
        <v>8.72</v>
      </c>
      <c r="G21" s="26" t="n">
        <v>30060</v>
      </c>
      <c r="H21" s="26" t="n">
        <f aca="false">C21-D21</f>
        <v>91</v>
      </c>
    </row>
    <row r="22" customFormat="false" ht="15" hidden="false" customHeight="false" outlineLevel="0" collapsed="false">
      <c r="A22" s="27" t="n">
        <v>45481</v>
      </c>
      <c r="B22" s="26" t="s">
        <v>37</v>
      </c>
      <c r="C22" s="26" t="n">
        <v>1757</v>
      </c>
      <c r="D22" s="26" t="n">
        <v>85</v>
      </c>
      <c r="E22" s="26" t="n">
        <v>58223</v>
      </c>
      <c r="F22" s="26" t="n">
        <v>8.74</v>
      </c>
      <c r="G22" s="26" t="n">
        <v>22728</v>
      </c>
      <c r="H22" s="26" t="n">
        <f aca="false">C22-D22</f>
        <v>1672</v>
      </c>
    </row>
    <row r="23" customFormat="false" ht="15" hidden="false" customHeight="false" outlineLevel="0" collapsed="false">
      <c r="A23" s="27" t="n">
        <v>45481</v>
      </c>
      <c r="B23" s="26" t="s">
        <v>36</v>
      </c>
      <c r="C23" s="26" t="n">
        <v>350</v>
      </c>
      <c r="D23" s="26" t="n">
        <v>41</v>
      </c>
      <c r="E23" s="26" t="n">
        <v>251694</v>
      </c>
      <c r="F23" s="26" t="n">
        <v>1.91</v>
      </c>
      <c r="G23" s="26" t="n">
        <v>38610</v>
      </c>
      <c r="H23" s="26" t="n">
        <f aca="false">C23-D23</f>
        <v>309</v>
      </c>
    </row>
    <row r="24" customFormat="false" ht="15" hidden="false" customHeight="false" outlineLevel="0" collapsed="false">
      <c r="A24" s="27" t="n">
        <v>45481</v>
      </c>
      <c r="B24" s="26" t="s">
        <v>38</v>
      </c>
      <c r="C24" s="26" t="n">
        <v>987</v>
      </c>
      <c r="D24" s="26" t="n">
        <v>440</v>
      </c>
      <c r="E24" s="26" t="n">
        <v>389810</v>
      </c>
      <c r="F24" s="26" t="n">
        <v>4.66</v>
      </c>
      <c r="G24" s="26" t="n">
        <v>2932</v>
      </c>
      <c r="H24" s="26" t="n">
        <f aca="false">C24-D24</f>
        <v>547</v>
      </c>
    </row>
    <row r="25" customFormat="false" ht="15" hidden="false" customHeight="false" outlineLevel="0" collapsed="false">
      <c r="A25" s="27" t="n">
        <v>45481</v>
      </c>
      <c r="B25" s="26" t="s">
        <v>39</v>
      </c>
      <c r="C25" s="26" t="n">
        <v>883</v>
      </c>
      <c r="D25" s="26" t="n">
        <v>369</v>
      </c>
      <c r="E25" s="26" t="n">
        <v>233694</v>
      </c>
      <c r="F25" s="26" t="n">
        <v>2.88</v>
      </c>
      <c r="G25" s="26" t="n">
        <v>15071</v>
      </c>
      <c r="H25" s="26" t="n">
        <f aca="false">C25-D25</f>
        <v>514</v>
      </c>
    </row>
    <row r="26" customFormat="false" ht="15" hidden="false" customHeight="false" outlineLevel="0" collapsed="false">
      <c r="A26" s="27" t="n">
        <v>45488</v>
      </c>
      <c r="B26" s="26" t="s">
        <v>37</v>
      </c>
      <c r="C26" s="26" t="n">
        <v>1960</v>
      </c>
      <c r="D26" s="26" t="n">
        <v>115</v>
      </c>
      <c r="E26" s="26" t="n">
        <v>154169</v>
      </c>
      <c r="F26" s="26" t="n">
        <v>3.74</v>
      </c>
      <c r="G26" s="26" t="n">
        <v>10740</v>
      </c>
      <c r="H26" s="26" t="n">
        <f aca="false">C26-D26</f>
        <v>1845</v>
      </c>
    </row>
    <row r="27" customFormat="false" ht="15" hidden="false" customHeight="false" outlineLevel="0" collapsed="false">
      <c r="A27" s="27" t="n">
        <v>45488</v>
      </c>
      <c r="B27" s="26" t="s">
        <v>36</v>
      </c>
      <c r="C27" s="26" t="n">
        <v>170</v>
      </c>
      <c r="D27" s="26" t="n">
        <v>334</v>
      </c>
      <c r="E27" s="26" t="n">
        <v>334626</v>
      </c>
      <c r="F27" s="26" t="n">
        <v>6.44</v>
      </c>
      <c r="G27" s="26" t="n">
        <v>43420</v>
      </c>
      <c r="H27" s="26" t="n">
        <f aca="false">C27-D27</f>
        <v>-164</v>
      </c>
    </row>
    <row r="28" customFormat="false" ht="15" hidden="false" customHeight="false" outlineLevel="0" collapsed="false">
      <c r="A28" s="27" t="n">
        <v>45488</v>
      </c>
      <c r="B28" s="26" t="s">
        <v>38</v>
      </c>
      <c r="C28" s="26" t="n">
        <v>704</v>
      </c>
      <c r="D28" s="26" t="n">
        <v>275</v>
      </c>
      <c r="E28" s="26" t="n">
        <v>226002</v>
      </c>
      <c r="F28" s="26" t="n">
        <v>8.56</v>
      </c>
      <c r="G28" s="26" t="n">
        <v>32393</v>
      </c>
      <c r="H28" s="26" t="n">
        <f aca="false">C28-D28</f>
        <v>429</v>
      </c>
    </row>
    <row r="29" customFormat="false" ht="15" hidden="false" customHeight="false" outlineLevel="0" collapsed="false">
      <c r="A29" s="27" t="n">
        <v>45488</v>
      </c>
      <c r="B29" s="26" t="s">
        <v>39</v>
      </c>
      <c r="C29" s="26" t="n">
        <v>224</v>
      </c>
      <c r="D29" s="26" t="n">
        <v>64</v>
      </c>
      <c r="E29" s="26" t="n">
        <v>156683</v>
      </c>
      <c r="F29" s="26" t="n">
        <v>4.56</v>
      </c>
      <c r="G29" s="26" t="n">
        <v>28474</v>
      </c>
      <c r="H29" s="26" t="n">
        <f aca="false">C29-D29</f>
        <v>160</v>
      </c>
    </row>
    <row r="30" customFormat="false" ht="15" hidden="false" customHeight="false" outlineLevel="0" collapsed="false">
      <c r="A30" s="27" t="n">
        <v>45495</v>
      </c>
      <c r="B30" s="26" t="s">
        <v>37</v>
      </c>
      <c r="C30" s="26" t="n">
        <v>508</v>
      </c>
      <c r="D30" s="26" t="n">
        <v>349</v>
      </c>
      <c r="E30" s="26" t="n">
        <v>473812</v>
      </c>
      <c r="F30" s="26" t="n">
        <v>7.88</v>
      </c>
      <c r="G30" s="26" t="n">
        <v>17328</v>
      </c>
      <c r="H30" s="26" t="n">
        <f aca="false">C30-D30</f>
        <v>159</v>
      </c>
    </row>
    <row r="31" customFormat="false" ht="15" hidden="false" customHeight="false" outlineLevel="0" collapsed="false">
      <c r="A31" s="27" t="n">
        <v>45495</v>
      </c>
      <c r="B31" s="26" t="s">
        <v>36</v>
      </c>
      <c r="C31" s="26" t="n">
        <v>1391</v>
      </c>
      <c r="D31" s="26" t="n">
        <v>430</v>
      </c>
      <c r="E31" s="26" t="n">
        <v>295032</v>
      </c>
      <c r="F31" s="26" t="n">
        <v>7.86</v>
      </c>
      <c r="G31" s="26" t="n">
        <v>26067</v>
      </c>
      <c r="H31" s="26" t="n">
        <f aca="false">C31-D31</f>
        <v>961</v>
      </c>
    </row>
    <row r="32" customFormat="false" ht="15" hidden="false" customHeight="false" outlineLevel="0" collapsed="false">
      <c r="A32" s="27" t="n">
        <v>45495</v>
      </c>
      <c r="B32" s="26" t="s">
        <v>38</v>
      </c>
      <c r="C32" s="26" t="n">
        <v>1701</v>
      </c>
      <c r="D32" s="26" t="n">
        <v>385</v>
      </c>
      <c r="E32" s="26" t="n">
        <v>198278</v>
      </c>
      <c r="F32" s="26" t="n">
        <v>5.34</v>
      </c>
      <c r="G32" s="26" t="n">
        <v>32763</v>
      </c>
      <c r="H32" s="26" t="n">
        <f aca="false">C32-D32</f>
        <v>1316</v>
      </c>
    </row>
    <row r="33" customFormat="false" ht="15" hidden="false" customHeight="false" outlineLevel="0" collapsed="false">
      <c r="A33" s="27" t="n">
        <v>45495</v>
      </c>
      <c r="B33" s="26" t="s">
        <v>39</v>
      </c>
      <c r="C33" s="26" t="n">
        <v>804</v>
      </c>
      <c r="D33" s="26" t="n">
        <v>487</v>
      </c>
      <c r="E33" s="26" t="n">
        <v>306564</v>
      </c>
      <c r="F33" s="26" t="n">
        <v>5.52</v>
      </c>
      <c r="G33" s="26" t="n">
        <v>26452</v>
      </c>
      <c r="H33" s="26" t="n">
        <f aca="false">C33-D33</f>
        <v>317</v>
      </c>
    </row>
    <row r="34" customFormat="false" ht="15" hidden="false" customHeight="false" outlineLevel="0" collapsed="false">
      <c r="A34" s="27" t="n">
        <v>45502</v>
      </c>
      <c r="B34" s="26" t="s">
        <v>37</v>
      </c>
      <c r="C34" s="26" t="n">
        <v>653</v>
      </c>
      <c r="D34" s="26" t="n">
        <v>112</v>
      </c>
      <c r="E34" s="26" t="n">
        <v>23664</v>
      </c>
      <c r="F34" s="26" t="n">
        <v>4.05</v>
      </c>
      <c r="G34" s="26" t="n">
        <v>15353</v>
      </c>
      <c r="H34" s="26" t="n">
        <f aca="false">C34-D34</f>
        <v>541</v>
      </c>
    </row>
    <row r="35" customFormat="false" ht="15" hidden="false" customHeight="false" outlineLevel="0" collapsed="false">
      <c r="A35" s="27" t="n">
        <v>45502</v>
      </c>
      <c r="B35" s="26" t="s">
        <v>36</v>
      </c>
      <c r="C35" s="26" t="n">
        <v>160</v>
      </c>
      <c r="D35" s="26" t="n">
        <v>478</v>
      </c>
      <c r="E35" s="26" t="n">
        <v>435034</v>
      </c>
      <c r="F35" s="26" t="n">
        <v>7.73</v>
      </c>
      <c r="G35" s="26" t="n">
        <v>4839</v>
      </c>
      <c r="H35" s="26" t="n">
        <f aca="false">C35-D35</f>
        <v>-318</v>
      </c>
    </row>
    <row r="36" customFormat="false" ht="15" hidden="false" customHeight="false" outlineLevel="0" collapsed="false">
      <c r="A36" s="27" t="n">
        <v>45502</v>
      </c>
      <c r="B36" s="26" t="s">
        <v>38</v>
      </c>
      <c r="C36" s="26" t="n">
        <v>1756</v>
      </c>
      <c r="D36" s="26" t="n">
        <v>261</v>
      </c>
      <c r="E36" s="26" t="n">
        <v>287574</v>
      </c>
      <c r="F36" s="26" t="n">
        <v>4.36</v>
      </c>
      <c r="G36" s="26" t="n">
        <v>39272</v>
      </c>
      <c r="H36" s="26" t="n">
        <f aca="false">C36-D36</f>
        <v>1495</v>
      </c>
    </row>
    <row r="37" customFormat="false" ht="15" hidden="false" customHeight="false" outlineLevel="0" collapsed="false">
      <c r="A37" s="27" t="n">
        <v>45502</v>
      </c>
      <c r="B37" s="26" t="s">
        <v>39</v>
      </c>
      <c r="C37" s="26" t="n">
        <v>576</v>
      </c>
      <c r="D37" s="26" t="n">
        <v>101</v>
      </c>
      <c r="E37" s="26" t="n">
        <v>62499</v>
      </c>
      <c r="F37" s="26" t="n">
        <v>3.48</v>
      </c>
      <c r="G37" s="26" t="n">
        <v>16804</v>
      </c>
      <c r="H37" s="26" t="n">
        <f aca="false">C37-D37</f>
        <v>475</v>
      </c>
    </row>
    <row r="38" customFormat="false" ht="15" hidden="false" customHeight="false" outlineLevel="0" collapsed="false">
      <c r="A38" s="27" t="n">
        <v>45509</v>
      </c>
      <c r="B38" s="26" t="s">
        <v>37</v>
      </c>
      <c r="C38" s="26" t="n">
        <v>645</v>
      </c>
      <c r="D38" s="26" t="n">
        <v>293</v>
      </c>
      <c r="E38" s="26" t="n">
        <v>437968</v>
      </c>
      <c r="F38" s="26" t="n">
        <v>7.83</v>
      </c>
      <c r="G38" s="26" t="n">
        <v>49303</v>
      </c>
      <c r="H38" s="26" t="n">
        <f aca="false">C38-D38</f>
        <v>352</v>
      </c>
    </row>
    <row r="39" customFormat="false" ht="15" hidden="false" customHeight="false" outlineLevel="0" collapsed="false">
      <c r="A39" s="27" t="n">
        <v>45509</v>
      </c>
      <c r="B39" s="26" t="s">
        <v>36</v>
      </c>
      <c r="C39" s="26" t="n">
        <v>214</v>
      </c>
      <c r="D39" s="26" t="n">
        <v>411</v>
      </c>
      <c r="E39" s="26" t="n">
        <v>125034</v>
      </c>
      <c r="F39" s="26" t="n">
        <v>6.11</v>
      </c>
      <c r="G39" s="26" t="n">
        <v>26455</v>
      </c>
      <c r="H39" s="26" t="n">
        <f aca="false">C39-D39</f>
        <v>-197</v>
      </c>
    </row>
    <row r="40" customFormat="false" ht="15" hidden="false" customHeight="false" outlineLevel="0" collapsed="false">
      <c r="A40" s="27" t="n">
        <v>45509</v>
      </c>
      <c r="B40" s="26" t="s">
        <v>38</v>
      </c>
      <c r="C40" s="26" t="n">
        <v>826</v>
      </c>
      <c r="D40" s="26" t="n">
        <v>498</v>
      </c>
      <c r="E40" s="26" t="n">
        <v>449994</v>
      </c>
      <c r="F40" s="26" t="n">
        <v>9.43</v>
      </c>
      <c r="G40" s="26" t="n">
        <v>12384</v>
      </c>
      <c r="H40" s="26" t="n">
        <f aca="false">C40-D40</f>
        <v>328</v>
      </c>
    </row>
    <row r="41" customFormat="false" ht="15" hidden="false" customHeight="false" outlineLevel="0" collapsed="false">
      <c r="A41" s="27" t="n">
        <v>45509</v>
      </c>
      <c r="B41" s="26" t="s">
        <v>39</v>
      </c>
      <c r="C41" s="26" t="n">
        <v>460</v>
      </c>
      <c r="D41" s="26" t="n">
        <v>141</v>
      </c>
      <c r="E41" s="26" t="n">
        <v>320650</v>
      </c>
      <c r="F41" s="26" t="n">
        <v>4.04</v>
      </c>
      <c r="G41" s="26" t="n">
        <v>49372</v>
      </c>
      <c r="H41" s="26" t="n">
        <f aca="false">C41-D41</f>
        <v>319</v>
      </c>
    </row>
    <row r="42" customFormat="false" ht="15" hidden="false" customHeight="false" outlineLevel="0" collapsed="false">
      <c r="A42" s="27" t="n">
        <v>45516</v>
      </c>
      <c r="B42" s="26" t="s">
        <v>37</v>
      </c>
      <c r="C42" s="26" t="n">
        <v>1528</v>
      </c>
      <c r="D42" s="26" t="n">
        <v>203</v>
      </c>
      <c r="E42" s="26" t="n">
        <v>489188</v>
      </c>
      <c r="F42" s="26" t="n">
        <v>6.23</v>
      </c>
      <c r="G42" s="26" t="n">
        <v>47101</v>
      </c>
      <c r="H42" s="26" t="n">
        <f aca="false">C42-D42</f>
        <v>1325</v>
      </c>
    </row>
    <row r="43" customFormat="false" ht="15" hidden="false" customHeight="false" outlineLevel="0" collapsed="false">
      <c r="A43" s="27" t="n">
        <v>45516</v>
      </c>
      <c r="B43" s="26" t="s">
        <v>36</v>
      </c>
      <c r="C43" s="26" t="n">
        <v>1534</v>
      </c>
      <c r="D43" s="26" t="n">
        <v>200</v>
      </c>
      <c r="E43" s="26" t="n">
        <v>307612</v>
      </c>
      <c r="F43" s="26" t="n">
        <v>6.01</v>
      </c>
      <c r="G43" s="26" t="n">
        <v>37903</v>
      </c>
      <c r="H43" s="26" t="n">
        <f aca="false">C43-D43</f>
        <v>1334</v>
      </c>
    </row>
    <row r="44" customFormat="false" ht="15" hidden="false" customHeight="false" outlineLevel="0" collapsed="false">
      <c r="A44" s="27" t="n">
        <v>45516</v>
      </c>
      <c r="B44" s="26" t="s">
        <v>38</v>
      </c>
      <c r="C44" s="26" t="n">
        <v>485</v>
      </c>
      <c r="D44" s="26" t="n">
        <v>448</v>
      </c>
      <c r="E44" s="26" t="n">
        <v>434883</v>
      </c>
      <c r="F44" s="26" t="n">
        <v>8.55</v>
      </c>
      <c r="G44" s="26" t="n">
        <v>33258</v>
      </c>
      <c r="H44" s="26" t="n">
        <f aca="false">C44-D44</f>
        <v>37</v>
      </c>
    </row>
    <row r="45" customFormat="false" ht="15" hidden="false" customHeight="false" outlineLevel="0" collapsed="false">
      <c r="A45" s="27" t="n">
        <v>45516</v>
      </c>
      <c r="B45" s="26" t="s">
        <v>39</v>
      </c>
      <c r="C45" s="26" t="n">
        <v>1210</v>
      </c>
      <c r="D45" s="26" t="n">
        <v>178</v>
      </c>
      <c r="E45" s="26" t="n">
        <v>102042</v>
      </c>
      <c r="F45" s="26" t="n">
        <v>5.42</v>
      </c>
      <c r="G45" s="26" t="n">
        <v>6915</v>
      </c>
      <c r="H45" s="26" t="n">
        <f aca="false">C45-D45</f>
        <v>1032</v>
      </c>
    </row>
    <row r="46" customFormat="false" ht="15" hidden="false" customHeight="false" outlineLevel="0" collapsed="false">
      <c r="A46" s="27" t="n">
        <v>45523</v>
      </c>
      <c r="B46" s="26" t="s">
        <v>37</v>
      </c>
      <c r="C46" s="26" t="n">
        <v>215</v>
      </c>
      <c r="D46" s="26" t="n">
        <v>139</v>
      </c>
      <c r="E46" s="26" t="n">
        <v>325444</v>
      </c>
      <c r="F46" s="26" t="n">
        <v>3.25</v>
      </c>
      <c r="G46" s="26" t="n">
        <v>35501</v>
      </c>
      <c r="H46" s="26" t="n">
        <f aca="false">C46-D46</f>
        <v>76</v>
      </c>
    </row>
    <row r="47" customFormat="false" ht="15" hidden="false" customHeight="false" outlineLevel="0" collapsed="false">
      <c r="A47" s="27" t="n">
        <v>45523</v>
      </c>
      <c r="B47" s="26" t="s">
        <v>36</v>
      </c>
      <c r="C47" s="26" t="n">
        <v>1078</v>
      </c>
      <c r="D47" s="26" t="n">
        <v>20</v>
      </c>
      <c r="E47" s="26" t="n">
        <v>183924</v>
      </c>
      <c r="F47" s="26" t="n">
        <v>8.84</v>
      </c>
      <c r="G47" s="26" t="n">
        <v>14203</v>
      </c>
      <c r="H47" s="26" t="n">
        <f aca="false">C47-D47</f>
        <v>1058</v>
      </c>
    </row>
    <row r="48" customFormat="false" ht="15" hidden="false" customHeight="false" outlineLevel="0" collapsed="false">
      <c r="A48" s="27" t="n">
        <v>45523</v>
      </c>
      <c r="B48" s="26" t="s">
        <v>38</v>
      </c>
      <c r="C48" s="26" t="n">
        <v>1751</v>
      </c>
      <c r="D48" s="26" t="n">
        <v>86</v>
      </c>
      <c r="E48" s="26" t="n">
        <v>188655</v>
      </c>
      <c r="F48" s="26" t="n">
        <v>7.24</v>
      </c>
      <c r="G48" s="26" t="n">
        <v>22206</v>
      </c>
      <c r="H48" s="26" t="n">
        <f aca="false">C48-D48</f>
        <v>1665</v>
      </c>
    </row>
    <row r="49" customFormat="false" ht="15" hidden="false" customHeight="false" outlineLevel="0" collapsed="false">
      <c r="A49" s="27" t="n">
        <v>45523</v>
      </c>
      <c r="B49" s="26" t="s">
        <v>39</v>
      </c>
      <c r="C49" s="26" t="n">
        <v>221</v>
      </c>
      <c r="D49" s="26" t="n">
        <v>31</v>
      </c>
      <c r="E49" s="26" t="n">
        <v>87443</v>
      </c>
      <c r="F49" s="26" t="n">
        <v>6.19</v>
      </c>
      <c r="G49" s="26" t="n">
        <v>10283</v>
      </c>
      <c r="H49" s="26" t="n">
        <f aca="false">C49-D49</f>
        <v>190</v>
      </c>
    </row>
    <row r="50" customFormat="false" ht="15" hidden="false" customHeight="false" outlineLevel="0" collapsed="false">
      <c r="A50" s="27" t="n">
        <v>45530</v>
      </c>
      <c r="B50" s="26" t="s">
        <v>37</v>
      </c>
      <c r="C50" s="26" t="n">
        <v>1685</v>
      </c>
      <c r="D50" s="26" t="n">
        <v>76</v>
      </c>
      <c r="E50" s="26" t="n">
        <v>453799</v>
      </c>
      <c r="F50" s="26" t="n">
        <v>5.71</v>
      </c>
      <c r="G50" s="26" t="n">
        <v>24913</v>
      </c>
      <c r="H50" s="26" t="n">
        <f aca="false">C50-D50</f>
        <v>1609</v>
      </c>
    </row>
    <row r="51" customFormat="false" ht="15" hidden="false" customHeight="false" outlineLevel="0" collapsed="false">
      <c r="A51" s="27" t="n">
        <v>45530</v>
      </c>
      <c r="B51" s="26" t="s">
        <v>36</v>
      </c>
      <c r="C51" s="26" t="n">
        <v>248</v>
      </c>
      <c r="D51" s="26" t="n">
        <v>211</v>
      </c>
      <c r="E51" s="26" t="n">
        <v>379380</v>
      </c>
      <c r="F51" s="26" t="n">
        <v>9.04</v>
      </c>
      <c r="G51" s="26" t="n">
        <v>26925</v>
      </c>
      <c r="H51" s="26" t="n">
        <f aca="false">C51-D51</f>
        <v>37</v>
      </c>
    </row>
    <row r="52" customFormat="false" ht="15" hidden="false" customHeight="false" outlineLevel="0" collapsed="false">
      <c r="A52" s="27" t="n">
        <v>45530</v>
      </c>
      <c r="B52" s="26" t="s">
        <v>38</v>
      </c>
      <c r="C52" s="26" t="n">
        <v>1300</v>
      </c>
      <c r="D52" s="26" t="n">
        <v>71</v>
      </c>
      <c r="E52" s="26" t="n">
        <v>186454</v>
      </c>
      <c r="F52" s="26" t="n">
        <v>3.91</v>
      </c>
      <c r="G52" s="26" t="n">
        <v>9942</v>
      </c>
      <c r="H52" s="26" t="n">
        <f aca="false">C52-D52</f>
        <v>1229</v>
      </c>
    </row>
    <row r="53" customFormat="false" ht="15" hidden="false" customHeight="false" outlineLevel="0" collapsed="false">
      <c r="A53" s="27" t="n">
        <v>45530</v>
      </c>
      <c r="B53" s="26" t="s">
        <v>39</v>
      </c>
      <c r="C53" s="26" t="n">
        <v>422</v>
      </c>
      <c r="D53" s="26" t="n">
        <v>394</v>
      </c>
      <c r="E53" s="26" t="n">
        <v>239044</v>
      </c>
      <c r="F53" s="26" t="n">
        <v>7.83</v>
      </c>
      <c r="G53" s="26" t="n">
        <v>32929</v>
      </c>
      <c r="H53" s="26" t="n">
        <f aca="false">C53-D53</f>
        <v>28</v>
      </c>
    </row>
    <row r="54" customFormat="false" ht="15" hidden="false" customHeight="false" outlineLevel="0" collapsed="false">
      <c r="A54" s="27" t="n">
        <v>45537</v>
      </c>
      <c r="B54" s="26" t="s">
        <v>37</v>
      </c>
      <c r="C54" s="26" t="n">
        <v>1429</v>
      </c>
      <c r="D54" s="26" t="n">
        <v>182</v>
      </c>
      <c r="E54" s="26" t="n">
        <v>101332</v>
      </c>
      <c r="F54" s="26" t="n">
        <v>7.16</v>
      </c>
      <c r="G54" s="26" t="n">
        <v>37829</v>
      </c>
      <c r="H54" s="26" t="n">
        <f aca="false">C54-D54</f>
        <v>1247</v>
      </c>
    </row>
    <row r="55" customFormat="false" ht="15" hidden="false" customHeight="false" outlineLevel="0" collapsed="false">
      <c r="A55" s="27" t="n">
        <v>45537</v>
      </c>
      <c r="B55" s="26" t="s">
        <v>36</v>
      </c>
      <c r="C55" s="26" t="n">
        <v>1520</v>
      </c>
      <c r="D55" s="26" t="n">
        <v>475</v>
      </c>
      <c r="E55" s="26" t="n">
        <v>496982</v>
      </c>
      <c r="F55" s="26" t="n">
        <v>6.41</v>
      </c>
      <c r="G55" s="26" t="n">
        <v>24384</v>
      </c>
      <c r="H55" s="26" t="n">
        <f aca="false">C55-D55</f>
        <v>1045</v>
      </c>
    </row>
    <row r="56" customFormat="false" ht="15" hidden="false" customHeight="false" outlineLevel="0" collapsed="false">
      <c r="A56" s="27" t="n">
        <v>45537</v>
      </c>
      <c r="B56" s="26" t="s">
        <v>38</v>
      </c>
      <c r="C56" s="26" t="n">
        <v>557</v>
      </c>
      <c r="D56" s="26" t="n">
        <v>360</v>
      </c>
      <c r="E56" s="26" t="n">
        <v>318779</v>
      </c>
      <c r="F56" s="26" t="n">
        <v>8.02</v>
      </c>
      <c r="G56" s="26" t="n">
        <v>25797</v>
      </c>
      <c r="H56" s="26" t="n">
        <f aca="false">C56-D56</f>
        <v>197</v>
      </c>
    </row>
    <row r="57" customFormat="false" ht="15" hidden="false" customHeight="false" outlineLevel="0" collapsed="false">
      <c r="A57" s="27" t="n">
        <v>45537</v>
      </c>
      <c r="B57" s="26" t="s">
        <v>39</v>
      </c>
      <c r="C57" s="26" t="n">
        <v>728</v>
      </c>
      <c r="D57" s="26" t="n">
        <v>395</v>
      </c>
      <c r="E57" s="26" t="n">
        <v>370971</v>
      </c>
      <c r="F57" s="26" t="n">
        <v>3.86</v>
      </c>
      <c r="G57" s="26" t="n">
        <v>12646</v>
      </c>
      <c r="H57" s="26" t="n">
        <f aca="false">C57-D57</f>
        <v>333</v>
      </c>
    </row>
    <row r="58" customFormat="false" ht="15" hidden="false" customHeight="false" outlineLevel="0" collapsed="false">
      <c r="A58" s="27" t="n">
        <v>45544</v>
      </c>
      <c r="B58" s="26" t="s">
        <v>37</v>
      </c>
      <c r="C58" s="26" t="n">
        <v>1592</v>
      </c>
      <c r="D58" s="26" t="n">
        <v>20</v>
      </c>
      <c r="E58" s="26" t="n">
        <v>378054</v>
      </c>
      <c r="F58" s="26" t="n">
        <v>9.09</v>
      </c>
      <c r="G58" s="26" t="n">
        <v>26663</v>
      </c>
      <c r="H58" s="26" t="n">
        <f aca="false">C58-D58</f>
        <v>1572</v>
      </c>
    </row>
    <row r="59" customFormat="false" ht="15" hidden="false" customHeight="false" outlineLevel="0" collapsed="false">
      <c r="A59" s="27" t="n">
        <v>45544</v>
      </c>
      <c r="B59" s="26" t="s">
        <v>36</v>
      </c>
      <c r="C59" s="26" t="n">
        <v>1842</v>
      </c>
      <c r="D59" s="26" t="n">
        <v>414</v>
      </c>
      <c r="E59" s="26" t="n">
        <v>307524</v>
      </c>
      <c r="F59" s="26" t="n">
        <v>1.76</v>
      </c>
      <c r="G59" s="26" t="n">
        <v>40478</v>
      </c>
      <c r="H59" s="26" t="n">
        <f aca="false">C59-D59</f>
        <v>1428</v>
      </c>
    </row>
    <row r="60" customFormat="false" ht="15" hidden="false" customHeight="false" outlineLevel="0" collapsed="false">
      <c r="A60" s="27" t="n">
        <v>45544</v>
      </c>
      <c r="B60" s="26" t="s">
        <v>38</v>
      </c>
      <c r="C60" s="26" t="n">
        <v>751</v>
      </c>
      <c r="D60" s="26" t="n">
        <v>491</v>
      </c>
      <c r="E60" s="26" t="n">
        <v>434047</v>
      </c>
      <c r="F60" s="26" t="n">
        <v>9.24</v>
      </c>
      <c r="G60" s="26" t="n">
        <v>15476</v>
      </c>
      <c r="H60" s="26" t="n">
        <f aca="false">C60-D60</f>
        <v>260</v>
      </c>
    </row>
    <row r="61" customFormat="false" ht="15" hidden="false" customHeight="false" outlineLevel="0" collapsed="false">
      <c r="A61" s="27" t="n">
        <v>45544</v>
      </c>
      <c r="B61" s="26" t="s">
        <v>39</v>
      </c>
      <c r="C61" s="26" t="n">
        <v>1409</v>
      </c>
      <c r="D61" s="26" t="n">
        <v>309</v>
      </c>
      <c r="E61" s="26" t="n">
        <v>64583</v>
      </c>
      <c r="F61" s="26" t="n">
        <v>8.99</v>
      </c>
      <c r="G61" s="26" t="n">
        <v>10217</v>
      </c>
      <c r="H61" s="26" t="n">
        <f aca="false">C61-D61</f>
        <v>1100</v>
      </c>
    </row>
    <row r="62" customFormat="false" ht="15" hidden="false" customHeight="false" outlineLevel="0" collapsed="false">
      <c r="A62" s="27" t="n">
        <v>45551</v>
      </c>
      <c r="B62" s="26" t="s">
        <v>37</v>
      </c>
      <c r="C62" s="26" t="n">
        <v>778</v>
      </c>
      <c r="D62" s="26" t="n">
        <v>401</v>
      </c>
      <c r="E62" s="26" t="n">
        <v>50793</v>
      </c>
      <c r="F62" s="26" t="n">
        <v>3.4</v>
      </c>
      <c r="G62" s="26" t="n">
        <v>21939</v>
      </c>
      <c r="H62" s="26" t="n">
        <f aca="false">C62-D62</f>
        <v>377</v>
      </c>
    </row>
    <row r="63" customFormat="false" ht="15" hidden="false" customHeight="false" outlineLevel="0" collapsed="false">
      <c r="A63" s="27" t="n">
        <v>45551</v>
      </c>
      <c r="B63" s="26" t="s">
        <v>36</v>
      </c>
      <c r="C63" s="26" t="n">
        <v>443</v>
      </c>
      <c r="D63" s="26" t="n">
        <v>345</v>
      </c>
      <c r="E63" s="26" t="n">
        <v>474162</v>
      </c>
      <c r="F63" s="26" t="n">
        <v>9.2</v>
      </c>
      <c r="G63" s="26" t="n">
        <v>47462</v>
      </c>
      <c r="H63" s="26" t="n">
        <f aca="false">C63-D63</f>
        <v>98</v>
      </c>
    </row>
    <row r="64" customFormat="false" ht="15" hidden="false" customHeight="false" outlineLevel="0" collapsed="false">
      <c r="A64" s="27" t="n">
        <v>45551</v>
      </c>
      <c r="B64" s="26" t="s">
        <v>38</v>
      </c>
      <c r="C64" s="26" t="n">
        <v>1472</v>
      </c>
      <c r="D64" s="26" t="n">
        <v>347</v>
      </c>
      <c r="E64" s="26" t="n">
        <v>392355</v>
      </c>
      <c r="F64" s="26" t="n">
        <v>8.59</v>
      </c>
      <c r="G64" s="26" t="n">
        <v>30270</v>
      </c>
      <c r="H64" s="26" t="n">
        <f aca="false">C64-D64</f>
        <v>1125</v>
      </c>
    </row>
    <row r="65" customFormat="false" ht="15" hidden="false" customHeight="false" outlineLevel="0" collapsed="false">
      <c r="A65" s="27" t="n">
        <v>45551</v>
      </c>
      <c r="B65" s="26" t="s">
        <v>39</v>
      </c>
      <c r="C65" s="26" t="n">
        <v>123</v>
      </c>
      <c r="D65" s="26" t="n">
        <v>155</v>
      </c>
      <c r="E65" s="26" t="n">
        <v>119934</v>
      </c>
      <c r="F65" s="26" t="n">
        <v>3.5</v>
      </c>
      <c r="G65" s="26" t="n">
        <v>5442</v>
      </c>
      <c r="H65" s="26" t="n">
        <f aca="false">C65-D65</f>
        <v>-32</v>
      </c>
    </row>
    <row r="66" customFormat="false" ht="15" hidden="false" customHeight="false" outlineLevel="0" collapsed="false">
      <c r="A66" s="27" t="n">
        <v>45558</v>
      </c>
      <c r="B66" s="26" t="s">
        <v>37</v>
      </c>
      <c r="C66" s="26" t="n">
        <v>817</v>
      </c>
      <c r="D66" s="26" t="n">
        <v>151</v>
      </c>
      <c r="E66" s="26" t="n">
        <v>422625</v>
      </c>
      <c r="F66" s="26" t="n">
        <v>2.36</v>
      </c>
      <c r="G66" s="26" t="n">
        <v>1083</v>
      </c>
      <c r="H66" s="26" t="n">
        <f aca="false">C66-D66</f>
        <v>666</v>
      </c>
    </row>
    <row r="67" customFormat="false" ht="15" hidden="false" customHeight="false" outlineLevel="0" collapsed="false">
      <c r="A67" s="27" t="n">
        <v>45558</v>
      </c>
      <c r="B67" s="26" t="s">
        <v>36</v>
      </c>
      <c r="C67" s="26" t="n">
        <v>198</v>
      </c>
      <c r="D67" s="26" t="n">
        <v>217</v>
      </c>
      <c r="E67" s="26" t="n">
        <v>239753</v>
      </c>
      <c r="F67" s="26" t="n">
        <v>7.36</v>
      </c>
      <c r="G67" s="26" t="n">
        <v>11901</v>
      </c>
      <c r="H67" s="26" t="n">
        <f aca="false">C67-D67</f>
        <v>-19</v>
      </c>
    </row>
    <row r="68" customFormat="false" ht="15" hidden="false" customHeight="false" outlineLevel="0" collapsed="false">
      <c r="A68" s="27" t="n">
        <v>45558</v>
      </c>
      <c r="B68" s="26" t="s">
        <v>38</v>
      </c>
      <c r="C68" s="26" t="n">
        <v>1911</v>
      </c>
      <c r="D68" s="26" t="n">
        <v>231</v>
      </c>
      <c r="E68" s="26" t="n">
        <v>268516</v>
      </c>
      <c r="F68" s="26" t="n">
        <v>8.55</v>
      </c>
      <c r="G68" s="26" t="n">
        <v>24018</v>
      </c>
      <c r="H68" s="26" t="n">
        <f aca="false">C68-D68</f>
        <v>1680</v>
      </c>
    </row>
    <row r="69" customFormat="false" ht="15" hidden="false" customHeight="false" outlineLevel="0" collapsed="false">
      <c r="A69" s="27" t="n">
        <v>45558</v>
      </c>
      <c r="B69" s="26" t="s">
        <v>39</v>
      </c>
      <c r="C69" s="26" t="n">
        <v>1218</v>
      </c>
      <c r="D69" s="26" t="n">
        <v>212</v>
      </c>
      <c r="E69" s="26" t="n">
        <v>63177</v>
      </c>
      <c r="F69" s="26" t="n">
        <v>8.13</v>
      </c>
      <c r="G69" s="26" t="n">
        <v>38883</v>
      </c>
      <c r="H69" s="26" t="n">
        <f aca="false">C69-D69</f>
        <v>1006</v>
      </c>
    </row>
    <row r="70" customFormat="false" ht="15" hidden="false" customHeight="false" outlineLevel="0" collapsed="false">
      <c r="A70" s="27" t="n">
        <v>45565</v>
      </c>
      <c r="B70" s="26" t="s">
        <v>37</v>
      </c>
      <c r="C70" s="26" t="n">
        <v>1433</v>
      </c>
      <c r="D70" s="26" t="n">
        <v>408</v>
      </c>
      <c r="E70" s="26" t="n">
        <v>370269</v>
      </c>
      <c r="F70" s="26" t="n">
        <v>3.3</v>
      </c>
      <c r="G70" s="26" t="n">
        <v>30575</v>
      </c>
      <c r="H70" s="26" t="n">
        <f aca="false">C70-D70</f>
        <v>1025</v>
      </c>
    </row>
    <row r="71" customFormat="false" ht="15" hidden="false" customHeight="false" outlineLevel="0" collapsed="false">
      <c r="A71" s="27" t="n">
        <v>45565</v>
      </c>
      <c r="B71" s="26" t="s">
        <v>36</v>
      </c>
      <c r="C71" s="26" t="n">
        <v>250</v>
      </c>
      <c r="D71" s="26" t="n">
        <v>429</v>
      </c>
      <c r="E71" s="26" t="n">
        <v>453423</v>
      </c>
      <c r="F71" s="26" t="n">
        <v>1.77</v>
      </c>
      <c r="G71" s="26" t="n">
        <v>2315</v>
      </c>
      <c r="H71" s="26" t="n">
        <f aca="false">C71-D71</f>
        <v>-179</v>
      </c>
    </row>
    <row r="72" customFormat="false" ht="15" hidden="false" customHeight="false" outlineLevel="0" collapsed="false">
      <c r="A72" s="27" t="n">
        <v>45565</v>
      </c>
      <c r="B72" s="26" t="s">
        <v>38</v>
      </c>
      <c r="C72" s="26" t="n">
        <v>752</v>
      </c>
      <c r="D72" s="26" t="n">
        <v>153</v>
      </c>
      <c r="E72" s="26" t="n">
        <v>64906</v>
      </c>
      <c r="F72" s="26" t="n">
        <v>2.09</v>
      </c>
      <c r="G72" s="26" t="n">
        <v>12148</v>
      </c>
      <c r="H72" s="26" t="n">
        <f aca="false">C72-D72</f>
        <v>599</v>
      </c>
    </row>
    <row r="73" customFormat="false" ht="15" hidden="false" customHeight="false" outlineLevel="0" collapsed="false">
      <c r="A73" s="27" t="n">
        <v>45565</v>
      </c>
      <c r="B73" s="26" t="s">
        <v>39</v>
      </c>
      <c r="C73" s="26" t="n">
        <v>1918</v>
      </c>
      <c r="D73" s="26" t="n">
        <v>212</v>
      </c>
      <c r="E73" s="26" t="n">
        <v>94360</v>
      </c>
      <c r="F73" s="26" t="n">
        <v>7.36</v>
      </c>
      <c r="G73" s="26" t="n">
        <v>36851</v>
      </c>
      <c r="H73" s="26" t="n">
        <f aca="false">C73-D73</f>
        <v>1706</v>
      </c>
    </row>
    <row r="74" customFormat="false" ht="15" hidden="false" customHeight="false" outlineLevel="0" collapsed="false">
      <c r="A74" s="27" t="n">
        <v>45572</v>
      </c>
      <c r="B74" s="26" t="s">
        <v>37</v>
      </c>
      <c r="C74" s="26" t="n">
        <v>1939</v>
      </c>
      <c r="D74" s="26" t="n">
        <v>67</v>
      </c>
      <c r="E74" s="26" t="n">
        <v>187183</v>
      </c>
      <c r="F74" s="26" t="n">
        <v>6.25</v>
      </c>
      <c r="G74" s="26" t="n">
        <v>41215</v>
      </c>
      <c r="H74" s="26" t="n">
        <f aca="false">C74-D74</f>
        <v>1872</v>
      </c>
    </row>
    <row r="75" customFormat="false" ht="15" hidden="false" customHeight="false" outlineLevel="0" collapsed="false">
      <c r="A75" s="27" t="n">
        <v>45572</v>
      </c>
      <c r="B75" s="26" t="s">
        <v>36</v>
      </c>
      <c r="C75" s="26" t="n">
        <v>1929</v>
      </c>
      <c r="D75" s="26" t="n">
        <v>267</v>
      </c>
      <c r="E75" s="26" t="n">
        <v>379363</v>
      </c>
      <c r="F75" s="26" t="n">
        <v>1.75</v>
      </c>
      <c r="G75" s="26" t="n">
        <v>43836</v>
      </c>
      <c r="H75" s="26" t="n">
        <f aca="false">C75-D75</f>
        <v>1662</v>
      </c>
    </row>
    <row r="76" customFormat="false" ht="15" hidden="false" customHeight="false" outlineLevel="0" collapsed="false">
      <c r="A76" s="27" t="n">
        <v>45572</v>
      </c>
      <c r="B76" s="26" t="s">
        <v>38</v>
      </c>
      <c r="C76" s="26" t="n">
        <v>437</v>
      </c>
      <c r="D76" s="26" t="n">
        <v>330</v>
      </c>
      <c r="E76" s="26" t="n">
        <v>476486</v>
      </c>
      <c r="F76" s="26" t="n">
        <v>4.97</v>
      </c>
      <c r="G76" s="26" t="n">
        <v>4509</v>
      </c>
      <c r="H76" s="26" t="n">
        <f aca="false">C76-D76</f>
        <v>107</v>
      </c>
    </row>
    <row r="77" customFormat="false" ht="15" hidden="false" customHeight="false" outlineLevel="0" collapsed="false">
      <c r="A77" s="27" t="n">
        <v>45572</v>
      </c>
      <c r="B77" s="26" t="s">
        <v>39</v>
      </c>
      <c r="C77" s="26" t="n">
        <v>307</v>
      </c>
      <c r="D77" s="26" t="n">
        <v>189</v>
      </c>
      <c r="E77" s="26" t="n">
        <v>117767</v>
      </c>
      <c r="F77" s="26" t="n">
        <v>9.3</v>
      </c>
      <c r="G77" s="26" t="n">
        <v>27822</v>
      </c>
      <c r="H77" s="26" t="n">
        <f aca="false">C77-D77</f>
        <v>118</v>
      </c>
    </row>
    <row r="78" customFormat="false" ht="15" hidden="false" customHeight="false" outlineLevel="0" collapsed="false">
      <c r="A78" s="27" t="n">
        <v>45579</v>
      </c>
      <c r="B78" s="26" t="s">
        <v>37</v>
      </c>
      <c r="C78" s="26" t="n">
        <v>1527</v>
      </c>
      <c r="D78" s="26" t="n">
        <v>303</v>
      </c>
      <c r="E78" s="26" t="n">
        <v>388555</v>
      </c>
      <c r="F78" s="26" t="n">
        <v>8.9</v>
      </c>
      <c r="G78" s="26" t="n">
        <v>36397</v>
      </c>
      <c r="H78" s="26" t="n">
        <f aca="false">C78-D78</f>
        <v>1224</v>
      </c>
    </row>
    <row r="79" customFormat="false" ht="15" hidden="false" customHeight="false" outlineLevel="0" collapsed="false">
      <c r="A79" s="27" t="n">
        <v>45579</v>
      </c>
      <c r="B79" s="26" t="s">
        <v>36</v>
      </c>
      <c r="C79" s="26" t="n">
        <v>643</v>
      </c>
      <c r="D79" s="26" t="n">
        <v>358</v>
      </c>
      <c r="E79" s="26" t="n">
        <v>157599</v>
      </c>
      <c r="F79" s="26" t="n">
        <v>3.88</v>
      </c>
      <c r="G79" s="26" t="n">
        <v>7285</v>
      </c>
      <c r="H79" s="26" t="n">
        <f aca="false">C79-D79</f>
        <v>285</v>
      </c>
    </row>
    <row r="80" customFormat="false" ht="15" hidden="false" customHeight="false" outlineLevel="0" collapsed="false">
      <c r="A80" s="27" t="n">
        <v>45579</v>
      </c>
      <c r="B80" s="26" t="s">
        <v>38</v>
      </c>
      <c r="C80" s="26" t="n">
        <v>201</v>
      </c>
      <c r="D80" s="26" t="n">
        <v>221</v>
      </c>
      <c r="E80" s="26" t="n">
        <v>309772</v>
      </c>
      <c r="F80" s="26" t="n">
        <v>5.9</v>
      </c>
      <c r="G80" s="26" t="n">
        <v>33174</v>
      </c>
      <c r="H80" s="26" t="n">
        <f aca="false">C80-D80</f>
        <v>-20</v>
      </c>
    </row>
    <row r="81" customFormat="false" ht="15" hidden="false" customHeight="false" outlineLevel="0" collapsed="false">
      <c r="A81" s="27" t="n">
        <v>45579</v>
      </c>
      <c r="B81" s="26" t="s">
        <v>39</v>
      </c>
      <c r="C81" s="26" t="n">
        <v>414</v>
      </c>
      <c r="D81" s="26" t="n">
        <v>47</v>
      </c>
      <c r="E81" s="26" t="n">
        <v>199178</v>
      </c>
      <c r="F81" s="26" t="n">
        <v>1.53</v>
      </c>
      <c r="G81" s="26" t="n">
        <v>6742</v>
      </c>
      <c r="H81" s="26" t="n">
        <f aca="false">C81-D81</f>
        <v>367</v>
      </c>
    </row>
    <row r="82" customFormat="false" ht="15" hidden="false" customHeight="false" outlineLevel="0" collapsed="false">
      <c r="A82" s="27" t="n">
        <v>45586</v>
      </c>
      <c r="B82" s="26" t="s">
        <v>37</v>
      </c>
      <c r="C82" s="26" t="n">
        <v>703</v>
      </c>
      <c r="D82" s="26" t="n">
        <v>441</v>
      </c>
      <c r="E82" s="26" t="n">
        <v>357089</v>
      </c>
      <c r="F82" s="26" t="n">
        <v>6.5</v>
      </c>
      <c r="G82" s="26" t="n">
        <v>32478</v>
      </c>
      <c r="H82" s="26" t="n">
        <f aca="false">C82-D82</f>
        <v>262</v>
      </c>
    </row>
    <row r="83" customFormat="false" ht="15" hidden="false" customHeight="false" outlineLevel="0" collapsed="false">
      <c r="A83" s="27" t="n">
        <v>45586</v>
      </c>
      <c r="B83" s="26" t="s">
        <v>36</v>
      </c>
      <c r="C83" s="26" t="n">
        <v>508</v>
      </c>
      <c r="D83" s="26" t="n">
        <v>69</v>
      </c>
      <c r="E83" s="26" t="n">
        <v>23492</v>
      </c>
      <c r="F83" s="26" t="n">
        <v>3.16</v>
      </c>
      <c r="G83" s="26" t="n">
        <v>42824</v>
      </c>
      <c r="H83" s="26" t="n">
        <f aca="false">C83-D83</f>
        <v>439</v>
      </c>
    </row>
    <row r="84" customFormat="false" ht="15" hidden="false" customHeight="false" outlineLevel="0" collapsed="false">
      <c r="A84" s="27" t="n">
        <v>45586</v>
      </c>
      <c r="B84" s="26" t="s">
        <v>38</v>
      </c>
      <c r="C84" s="26" t="n">
        <v>697</v>
      </c>
      <c r="D84" s="26" t="n">
        <v>61</v>
      </c>
      <c r="E84" s="26" t="n">
        <v>258287</v>
      </c>
      <c r="F84" s="26" t="n">
        <v>8.25</v>
      </c>
      <c r="G84" s="26" t="n">
        <v>21208</v>
      </c>
      <c r="H84" s="26" t="n">
        <f aca="false">C84-D84</f>
        <v>636</v>
      </c>
    </row>
    <row r="85" customFormat="false" ht="15" hidden="false" customHeight="false" outlineLevel="0" collapsed="false">
      <c r="A85" s="27" t="n">
        <v>45586</v>
      </c>
      <c r="B85" s="26" t="s">
        <v>39</v>
      </c>
      <c r="C85" s="26" t="n">
        <v>1707</v>
      </c>
      <c r="D85" s="26" t="n">
        <v>223</v>
      </c>
      <c r="E85" s="26" t="n">
        <v>256910</v>
      </c>
      <c r="F85" s="26" t="n">
        <v>5.41</v>
      </c>
      <c r="G85" s="26" t="n">
        <v>44321</v>
      </c>
      <c r="H85" s="26" t="n">
        <f aca="false">C85-D85</f>
        <v>1484</v>
      </c>
    </row>
    <row r="86" customFormat="false" ht="15" hidden="false" customHeight="false" outlineLevel="0" collapsed="false">
      <c r="A86" s="27" t="n">
        <v>45593</v>
      </c>
      <c r="B86" s="26" t="s">
        <v>37</v>
      </c>
      <c r="C86" s="26" t="n">
        <v>642</v>
      </c>
      <c r="D86" s="26" t="n">
        <v>66</v>
      </c>
      <c r="E86" s="26" t="n">
        <v>346522</v>
      </c>
      <c r="F86" s="26" t="n">
        <v>5.85</v>
      </c>
      <c r="G86" s="26" t="n">
        <v>13116</v>
      </c>
      <c r="H86" s="26" t="n">
        <f aca="false">C86-D86</f>
        <v>576</v>
      </c>
    </row>
    <row r="87" customFormat="false" ht="15" hidden="false" customHeight="false" outlineLevel="0" collapsed="false">
      <c r="A87" s="27" t="n">
        <v>45593</v>
      </c>
      <c r="B87" s="26" t="s">
        <v>36</v>
      </c>
      <c r="C87" s="26" t="n">
        <v>859</v>
      </c>
      <c r="D87" s="26" t="n">
        <v>473</v>
      </c>
      <c r="E87" s="26" t="n">
        <v>209987</v>
      </c>
      <c r="F87" s="26" t="n">
        <v>4.46</v>
      </c>
      <c r="G87" s="26" t="n">
        <v>30214</v>
      </c>
      <c r="H87" s="26" t="n">
        <f aca="false">C87-D87</f>
        <v>386</v>
      </c>
    </row>
    <row r="88" customFormat="false" ht="15" hidden="false" customHeight="false" outlineLevel="0" collapsed="false">
      <c r="A88" s="27" t="n">
        <v>45593</v>
      </c>
      <c r="B88" s="26" t="s">
        <v>38</v>
      </c>
      <c r="C88" s="26" t="n">
        <v>191</v>
      </c>
      <c r="D88" s="26" t="n">
        <v>154</v>
      </c>
      <c r="E88" s="26" t="n">
        <v>240550</v>
      </c>
      <c r="F88" s="26" t="n">
        <v>5.22</v>
      </c>
      <c r="G88" s="26" t="n">
        <v>15827</v>
      </c>
      <c r="H88" s="26" t="n">
        <f aca="false">C88-D88</f>
        <v>37</v>
      </c>
    </row>
    <row r="89" customFormat="false" ht="15" hidden="false" customHeight="false" outlineLevel="0" collapsed="false">
      <c r="A89" s="27" t="n">
        <v>45593</v>
      </c>
      <c r="B89" s="26" t="s">
        <v>39</v>
      </c>
      <c r="C89" s="26" t="n">
        <v>1814</v>
      </c>
      <c r="D89" s="26" t="n">
        <v>157</v>
      </c>
      <c r="E89" s="26" t="n">
        <v>305827</v>
      </c>
      <c r="F89" s="26" t="n">
        <v>1.99</v>
      </c>
      <c r="G89" s="26" t="n">
        <v>46643</v>
      </c>
      <c r="H89" s="26" t="n">
        <f aca="false">C89-D89</f>
        <v>1657</v>
      </c>
    </row>
    <row r="90" customFormat="false" ht="15" hidden="false" customHeight="false" outlineLevel="0" collapsed="false">
      <c r="A90" s="27" t="n">
        <v>45600</v>
      </c>
      <c r="B90" s="26" t="s">
        <v>37</v>
      </c>
      <c r="C90" s="26" t="n">
        <v>1466</v>
      </c>
      <c r="D90" s="26" t="n">
        <v>69</v>
      </c>
      <c r="E90" s="26" t="n">
        <v>54935</v>
      </c>
      <c r="F90" s="26" t="n">
        <v>6.85</v>
      </c>
      <c r="G90" s="26" t="n">
        <v>36484</v>
      </c>
      <c r="H90" s="26" t="n">
        <f aca="false">C90-D90</f>
        <v>1397</v>
      </c>
    </row>
    <row r="91" customFormat="false" ht="15" hidden="false" customHeight="false" outlineLevel="0" collapsed="false">
      <c r="A91" s="27" t="n">
        <v>45600</v>
      </c>
      <c r="B91" s="26" t="s">
        <v>36</v>
      </c>
      <c r="C91" s="26" t="n">
        <v>947</v>
      </c>
      <c r="D91" s="26" t="n">
        <v>407</v>
      </c>
      <c r="E91" s="26" t="n">
        <v>319186</v>
      </c>
      <c r="F91" s="26" t="n">
        <v>3.32</v>
      </c>
      <c r="G91" s="26" t="n">
        <v>4996</v>
      </c>
      <c r="H91" s="26" t="n">
        <f aca="false">C91-D91</f>
        <v>540</v>
      </c>
    </row>
    <row r="92" customFormat="false" ht="15" hidden="false" customHeight="false" outlineLevel="0" collapsed="false">
      <c r="A92" s="27" t="n">
        <v>45600</v>
      </c>
      <c r="B92" s="26" t="s">
        <v>38</v>
      </c>
      <c r="C92" s="26" t="n">
        <v>1821</v>
      </c>
      <c r="D92" s="26" t="n">
        <v>218</v>
      </c>
      <c r="E92" s="26" t="n">
        <v>439080</v>
      </c>
      <c r="F92" s="26" t="n">
        <v>5.68</v>
      </c>
      <c r="G92" s="26" t="n">
        <v>36095</v>
      </c>
      <c r="H92" s="26" t="n">
        <f aca="false">C92-D92</f>
        <v>1603</v>
      </c>
    </row>
    <row r="93" customFormat="false" ht="15" hidden="false" customHeight="false" outlineLevel="0" collapsed="false">
      <c r="A93" s="27" t="n">
        <v>45600</v>
      </c>
      <c r="B93" s="26" t="s">
        <v>39</v>
      </c>
      <c r="C93" s="26" t="n">
        <v>1507</v>
      </c>
      <c r="D93" s="26" t="n">
        <v>463</v>
      </c>
      <c r="E93" s="26" t="n">
        <v>258944</v>
      </c>
      <c r="F93" s="26" t="n">
        <v>6.08</v>
      </c>
      <c r="G93" s="26" t="n">
        <v>16443</v>
      </c>
      <c r="H93" s="26" t="n">
        <f aca="false">C93-D93</f>
        <v>1044</v>
      </c>
    </row>
    <row r="94" customFormat="false" ht="15" hidden="false" customHeight="false" outlineLevel="0" collapsed="false">
      <c r="A94" s="27" t="n">
        <v>45607</v>
      </c>
      <c r="B94" s="26" t="s">
        <v>37</v>
      </c>
      <c r="C94" s="26" t="n">
        <v>1075</v>
      </c>
      <c r="D94" s="26" t="n">
        <v>173</v>
      </c>
      <c r="E94" s="26" t="n">
        <v>51395</v>
      </c>
      <c r="F94" s="26" t="n">
        <v>4.66</v>
      </c>
      <c r="G94" s="26" t="n">
        <v>47812</v>
      </c>
      <c r="H94" s="26" t="n">
        <f aca="false">C94-D94</f>
        <v>902</v>
      </c>
    </row>
    <row r="95" customFormat="false" ht="15" hidden="false" customHeight="false" outlineLevel="0" collapsed="false">
      <c r="A95" s="27" t="n">
        <v>45607</v>
      </c>
      <c r="B95" s="26" t="s">
        <v>36</v>
      </c>
      <c r="C95" s="26" t="n">
        <v>171</v>
      </c>
      <c r="D95" s="26" t="n">
        <v>277</v>
      </c>
      <c r="E95" s="26" t="n">
        <v>309483</v>
      </c>
      <c r="F95" s="26" t="n">
        <v>8.7</v>
      </c>
      <c r="G95" s="26" t="n">
        <v>38452</v>
      </c>
      <c r="H95" s="26" t="n">
        <f aca="false">C95-D95</f>
        <v>-106</v>
      </c>
    </row>
    <row r="96" customFormat="false" ht="15" hidden="false" customHeight="false" outlineLevel="0" collapsed="false">
      <c r="A96" s="27" t="n">
        <v>45607</v>
      </c>
      <c r="B96" s="26" t="s">
        <v>38</v>
      </c>
      <c r="C96" s="26" t="n">
        <v>1487</v>
      </c>
      <c r="D96" s="26" t="n">
        <v>337</v>
      </c>
      <c r="E96" s="26" t="n">
        <v>87305</v>
      </c>
      <c r="F96" s="26" t="n">
        <v>2.46</v>
      </c>
      <c r="G96" s="26" t="n">
        <v>30428</v>
      </c>
      <c r="H96" s="26" t="n">
        <f aca="false">C96-D96</f>
        <v>1150</v>
      </c>
    </row>
    <row r="97" customFormat="false" ht="15" hidden="false" customHeight="false" outlineLevel="0" collapsed="false">
      <c r="A97" s="27" t="n">
        <v>45607</v>
      </c>
      <c r="B97" s="26" t="s">
        <v>39</v>
      </c>
      <c r="C97" s="26" t="n">
        <v>454</v>
      </c>
      <c r="D97" s="26" t="n">
        <v>105</v>
      </c>
      <c r="E97" s="26" t="n">
        <v>121091</v>
      </c>
      <c r="F97" s="26" t="n">
        <v>7.97</v>
      </c>
      <c r="G97" s="26" t="n">
        <v>9269</v>
      </c>
      <c r="H97" s="26" t="n">
        <f aca="false">C97-D97</f>
        <v>349</v>
      </c>
    </row>
    <row r="98" customFormat="false" ht="15" hidden="false" customHeight="false" outlineLevel="0" collapsed="false">
      <c r="A98" s="27" t="n">
        <v>45614</v>
      </c>
      <c r="B98" s="26" t="s">
        <v>37</v>
      </c>
      <c r="C98" s="26" t="n">
        <v>187</v>
      </c>
      <c r="D98" s="26" t="n">
        <v>236</v>
      </c>
      <c r="E98" s="26" t="n">
        <v>51087</v>
      </c>
      <c r="F98" s="26" t="n">
        <v>9.41</v>
      </c>
      <c r="G98" s="26" t="n">
        <v>29533</v>
      </c>
      <c r="H98" s="26" t="n">
        <f aca="false">C98-D98</f>
        <v>-49</v>
      </c>
    </row>
    <row r="99" customFormat="false" ht="15" hidden="false" customHeight="false" outlineLevel="0" collapsed="false">
      <c r="A99" s="27" t="n">
        <v>45614</v>
      </c>
      <c r="B99" s="26" t="s">
        <v>36</v>
      </c>
      <c r="C99" s="26" t="n">
        <v>513</v>
      </c>
      <c r="D99" s="26" t="n">
        <v>441</v>
      </c>
      <c r="E99" s="26" t="n">
        <v>338847</v>
      </c>
      <c r="F99" s="26" t="n">
        <v>2.68</v>
      </c>
      <c r="G99" s="26" t="n">
        <v>39997</v>
      </c>
      <c r="H99" s="26" t="n">
        <f aca="false">C99-D99</f>
        <v>72</v>
      </c>
    </row>
    <row r="100" customFormat="false" ht="15" hidden="false" customHeight="false" outlineLevel="0" collapsed="false">
      <c r="A100" s="27" t="n">
        <v>45614</v>
      </c>
      <c r="B100" s="26" t="s">
        <v>38</v>
      </c>
      <c r="C100" s="26" t="n">
        <v>628</v>
      </c>
      <c r="D100" s="26" t="n">
        <v>183</v>
      </c>
      <c r="E100" s="26" t="n">
        <v>487523</v>
      </c>
      <c r="F100" s="26" t="n">
        <v>7.32</v>
      </c>
      <c r="G100" s="26" t="n">
        <v>5391</v>
      </c>
      <c r="H100" s="26" t="n">
        <f aca="false">C100-D100</f>
        <v>445</v>
      </c>
    </row>
    <row r="101" customFormat="false" ht="15" hidden="false" customHeight="false" outlineLevel="0" collapsed="false">
      <c r="A101" s="27" t="n">
        <v>45614</v>
      </c>
      <c r="B101" s="26" t="s">
        <v>39</v>
      </c>
      <c r="C101" s="26" t="n">
        <v>278</v>
      </c>
      <c r="D101" s="26" t="n">
        <v>218</v>
      </c>
      <c r="E101" s="26" t="n">
        <v>301695</v>
      </c>
      <c r="F101" s="26" t="n">
        <v>4.68</v>
      </c>
      <c r="G101" s="26" t="n">
        <v>22373</v>
      </c>
      <c r="H101" s="26" t="n">
        <f aca="false">C101-D101</f>
        <v>60</v>
      </c>
    </row>
    <row r="102" customFormat="false" ht="15" hidden="false" customHeight="false" outlineLevel="0" collapsed="false">
      <c r="A102" s="27" t="n">
        <v>45621</v>
      </c>
      <c r="B102" s="26" t="s">
        <v>37</v>
      </c>
      <c r="C102" s="26" t="n">
        <v>1854</v>
      </c>
      <c r="D102" s="26" t="n">
        <v>161</v>
      </c>
      <c r="E102" s="26" t="n">
        <v>282466</v>
      </c>
      <c r="F102" s="26" t="n">
        <v>5.17</v>
      </c>
      <c r="G102" s="26" t="n">
        <v>1810</v>
      </c>
      <c r="H102" s="26" t="n">
        <f aca="false">C102-D102</f>
        <v>1693</v>
      </c>
    </row>
    <row r="103" customFormat="false" ht="15" hidden="false" customHeight="false" outlineLevel="0" collapsed="false">
      <c r="A103" s="27" t="n">
        <v>45621</v>
      </c>
      <c r="B103" s="26" t="s">
        <v>36</v>
      </c>
      <c r="C103" s="26" t="n">
        <v>1710</v>
      </c>
      <c r="D103" s="26" t="n">
        <v>378</v>
      </c>
      <c r="E103" s="26" t="n">
        <v>336661</v>
      </c>
      <c r="F103" s="26" t="n">
        <v>6.2</v>
      </c>
      <c r="G103" s="26" t="n">
        <v>28498</v>
      </c>
      <c r="H103" s="26" t="n">
        <f aca="false">C103-D103</f>
        <v>1332</v>
      </c>
    </row>
    <row r="104" customFormat="false" ht="15" hidden="false" customHeight="false" outlineLevel="0" collapsed="false">
      <c r="A104" s="27" t="n">
        <v>45621</v>
      </c>
      <c r="B104" s="26" t="s">
        <v>38</v>
      </c>
      <c r="C104" s="26" t="n">
        <v>330</v>
      </c>
      <c r="D104" s="26" t="n">
        <v>232</v>
      </c>
      <c r="E104" s="26" t="n">
        <v>88455</v>
      </c>
      <c r="F104" s="26" t="n">
        <v>2.69</v>
      </c>
      <c r="G104" s="26" t="n">
        <v>39530</v>
      </c>
      <c r="H104" s="26" t="n">
        <f aca="false">C104-D104</f>
        <v>98</v>
      </c>
    </row>
    <row r="105" customFormat="false" ht="15" hidden="false" customHeight="false" outlineLevel="0" collapsed="false">
      <c r="A105" s="27" t="n">
        <v>45621</v>
      </c>
      <c r="B105" s="26" t="s">
        <v>39</v>
      </c>
      <c r="C105" s="26" t="n">
        <v>1293</v>
      </c>
      <c r="D105" s="26" t="n">
        <v>408</v>
      </c>
      <c r="E105" s="26" t="n">
        <v>62535</v>
      </c>
      <c r="F105" s="26" t="n">
        <v>8.9</v>
      </c>
      <c r="G105" s="26" t="n">
        <v>37876</v>
      </c>
      <c r="H105" s="26" t="n">
        <f aca="false">C105-D105</f>
        <v>885</v>
      </c>
    </row>
    <row r="106" customFormat="false" ht="15" hidden="false" customHeight="false" outlineLevel="0" collapsed="false">
      <c r="A106" s="27" t="n">
        <v>45628</v>
      </c>
      <c r="B106" s="26" t="s">
        <v>37</v>
      </c>
      <c r="C106" s="26" t="n">
        <v>1696</v>
      </c>
      <c r="D106" s="26" t="n">
        <v>71</v>
      </c>
      <c r="E106" s="26" t="n">
        <v>421957</v>
      </c>
      <c r="F106" s="26" t="n">
        <v>3.79</v>
      </c>
      <c r="G106" s="26" t="n">
        <v>36103</v>
      </c>
      <c r="H106" s="26" t="n">
        <f aca="false">C106-D106</f>
        <v>1625</v>
      </c>
    </row>
    <row r="107" customFormat="false" ht="15" hidden="false" customHeight="false" outlineLevel="0" collapsed="false">
      <c r="A107" s="27" t="n">
        <v>45628</v>
      </c>
      <c r="B107" s="26" t="s">
        <v>36</v>
      </c>
      <c r="C107" s="26" t="n">
        <v>1902</v>
      </c>
      <c r="D107" s="26" t="n">
        <v>196</v>
      </c>
      <c r="E107" s="26" t="n">
        <v>470269</v>
      </c>
      <c r="F107" s="26" t="n">
        <v>4.79</v>
      </c>
      <c r="G107" s="26" t="n">
        <v>26103</v>
      </c>
      <c r="H107" s="26" t="n">
        <f aca="false">C107-D107</f>
        <v>1706</v>
      </c>
    </row>
    <row r="108" customFormat="false" ht="15" hidden="false" customHeight="false" outlineLevel="0" collapsed="false">
      <c r="A108" s="27" t="n">
        <v>45628</v>
      </c>
      <c r="B108" s="26" t="s">
        <v>38</v>
      </c>
      <c r="C108" s="26" t="n">
        <v>1441</v>
      </c>
      <c r="D108" s="26" t="n">
        <v>268</v>
      </c>
      <c r="E108" s="26" t="n">
        <v>309904</v>
      </c>
      <c r="F108" s="26" t="n">
        <v>6.37</v>
      </c>
      <c r="G108" s="26" t="n">
        <v>3455</v>
      </c>
      <c r="H108" s="26" t="n">
        <f aca="false">C108-D108</f>
        <v>1173</v>
      </c>
    </row>
    <row r="109" customFormat="false" ht="15" hidden="false" customHeight="false" outlineLevel="0" collapsed="false">
      <c r="A109" s="27" t="n">
        <v>45628</v>
      </c>
      <c r="B109" s="26" t="s">
        <v>39</v>
      </c>
      <c r="C109" s="26" t="n">
        <v>452</v>
      </c>
      <c r="D109" s="26" t="n">
        <v>161</v>
      </c>
      <c r="E109" s="26" t="n">
        <v>221274</v>
      </c>
      <c r="F109" s="26" t="n">
        <v>2.65</v>
      </c>
      <c r="G109" s="26" t="n">
        <v>40888</v>
      </c>
      <c r="H109" s="26" t="n">
        <f aca="false">C109-D109</f>
        <v>291</v>
      </c>
    </row>
    <row r="110" customFormat="false" ht="15" hidden="false" customHeight="false" outlineLevel="0" collapsed="false">
      <c r="A110" s="27" t="n">
        <v>45635</v>
      </c>
      <c r="B110" s="26" t="s">
        <v>37</v>
      </c>
      <c r="C110" s="26" t="n">
        <v>1494</v>
      </c>
      <c r="D110" s="26" t="n">
        <v>375</v>
      </c>
      <c r="E110" s="26" t="n">
        <v>220616</v>
      </c>
      <c r="F110" s="26" t="n">
        <v>1.81</v>
      </c>
      <c r="G110" s="26" t="n">
        <v>22724</v>
      </c>
      <c r="H110" s="26" t="n">
        <f aca="false">C110-D110</f>
        <v>1119</v>
      </c>
    </row>
    <row r="111" customFormat="false" ht="15" hidden="false" customHeight="false" outlineLevel="0" collapsed="false">
      <c r="A111" s="27" t="n">
        <v>45635</v>
      </c>
      <c r="B111" s="26" t="s">
        <v>36</v>
      </c>
      <c r="C111" s="26" t="n">
        <v>1514</v>
      </c>
      <c r="D111" s="26" t="n">
        <v>141</v>
      </c>
      <c r="E111" s="26" t="n">
        <v>35842</v>
      </c>
      <c r="F111" s="26" t="n">
        <v>7.47</v>
      </c>
      <c r="G111" s="26" t="n">
        <v>18601</v>
      </c>
      <c r="H111" s="26" t="n">
        <f aca="false">C111-D111</f>
        <v>1373</v>
      </c>
    </row>
    <row r="112" customFormat="false" ht="15" hidden="false" customHeight="false" outlineLevel="0" collapsed="false">
      <c r="A112" s="27" t="n">
        <v>45635</v>
      </c>
      <c r="B112" s="26" t="s">
        <v>38</v>
      </c>
      <c r="C112" s="26" t="n">
        <v>1937</v>
      </c>
      <c r="D112" s="26" t="n">
        <v>210</v>
      </c>
      <c r="E112" s="26" t="n">
        <v>20607</v>
      </c>
      <c r="F112" s="26" t="n">
        <v>4.2</v>
      </c>
      <c r="G112" s="26" t="n">
        <v>20861</v>
      </c>
      <c r="H112" s="26" t="n">
        <f aca="false">C112-D112</f>
        <v>1727</v>
      </c>
    </row>
    <row r="113" customFormat="false" ht="15" hidden="false" customHeight="false" outlineLevel="0" collapsed="false">
      <c r="A113" s="27" t="n">
        <v>45635</v>
      </c>
      <c r="B113" s="26" t="s">
        <v>39</v>
      </c>
      <c r="C113" s="26" t="n">
        <v>736</v>
      </c>
      <c r="D113" s="26" t="n">
        <v>163</v>
      </c>
      <c r="E113" s="26" t="n">
        <v>451894</v>
      </c>
      <c r="F113" s="26" t="n">
        <v>5.43</v>
      </c>
      <c r="G113" s="26" t="n">
        <v>46625</v>
      </c>
      <c r="H113" s="26" t="n">
        <f aca="false">C113-D113</f>
        <v>573</v>
      </c>
    </row>
    <row r="114" customFormat="false" ht="15" hidden="false" customHeight="false" outlineLevel="0" collapsed="false">
      <c r="A114" s="27" t="n">
        <v>45642</v>
      </c>
      <c r="B114" s="26" t="s">
        <v>37</v>
      </c>
      <c r="C114" s="26" t="n">
        <v>1502</v>
      </c>
      <c r="D114" s="26" t="n">
        <v>70</v>
      </c>
      <c r="E114" s="26" t="n">
        <v>465553</v>
      </c>
      <c r="F114" s="26" t="n">
        <v>3.32</v>
      </c>
      <c r="G114" s="26" t="n">
        <v>20692</v>
      </c>
      <c r="H114" s="26" t="n">
        <f aca="false">C114-D114</f>
        <v>1432</v>
      </c>
    </row>
    <row r="115" customFormat="false" ht="15" hidden="false" customHeight="false" outlineLevel="0" collapsed="false">
      <c r="A115" s="27" t="n">
        <v>45642</v>
      </c>
      <c r="B115" s="26" t="s">
        <v>36</v>
      </c>
      <c r="C115" s="26" t="n">
        <v>1623</v>
      </c>
      <c r="D115" s="26" t="n">
        <v>246</v>
      </c>
      <c r="E115" s="26" t="n">
        <v>415815</v>
      </c>
      <c r="F115" s="26" t="n">
        <v>8.11</v>
      </c>
      <c r="G115" s="26" t="n">
        <v>18656</v>
      </c>
      <c r="H115" s="26" t="n">
        <f aca="false">C115-D115</f>
        <v>1377</v>
      </c>
    </row>
    <row r="116" customFormat="false" ht="15" hidden="false" customHeight="false" outlineLevel="0" collapsed="false">
      <c r="A116" s="27" t="n">
        <v>45642</v>
      </c>
      <c r="B116" s="26" t="s">
        <v>38</v>
      </c>
      <c r="C116" s="26" t="n">
        <v>1592</v>
      </c>
      <c r="D116" s="26" t="n">
        <v>233</v>
      </c>
      <c r="E116" s="26" t="n">
        <v>327183</v>
      </c>
      <c r="F116" s="26" t="n">
        <v>6.66</v>
      </c>
      <c r="G116" s="26" t="n">
        <v>13316</v>
      </c>
      <c r="H116" s="26" t="n">
        <f aca="false">C116-D116</f>
        <v>1359</v>
      </c>
    </row>
    <row r="117" customFormat="false" ht="15" hidden="false" customHeight="false" outlineLevel="0" collapsed="false">
      <c r="A117" s="27" t="n">
        <v>45642</v>
      </c>
      <c r="B117" s="26" t="s">
        <v>39</v>
      </c>
      <c r="C117" s="26" t="n">
        <v>1004</v>
      </c>
      <c r="D117" s="26" t="n">
        <v>128</v>
      </c>
      <c r="E117" s="26" t="n">
        <v>488901</v>
      </c>
      <c r="F117" s="26" t="n">
        <v>8.09</v>
      </c>
      <c r="G117" s="26" t="n">
        <v>49558</v>
      </c>
      <c r="H117" s="26" t="n">
        <f aca="false">C117-D117</f>
        <v>876</v>
      </c>
    </row>
    <row r="118" customFormat="false" ht="15" hidden="false" customHeight="false" outlineLevel="0" collapsed="false">
      <c r="A118" s="27" t="n">
        <v>45649</v>
      </c>
      <c r="B118" s="26" t="s">
        <v>37</v>
      </c>
      <c r="C118" s="26" t="n">
        <v>1092</v>
      </c>
      <c r="D118" s="26" t="n">
        <v>408</v>
      </c>
      <c r="E118" s="26" t="n">
        <v>280795</v>
      </c>
      <c r="F118" s="26" t="n">
        <v>8.44</v>
      </c>
      <c r="G118" s="26" t="n">
        <v>4683</v>
      </c>
      <c r="H118" s="26" t="n">
        <f aca="false">C118-D118</f>
        <v>684</v>
      </c>
    </row>
    <row r="119" customFormat="false" ht="15" hidden="false" customHeight="false" outlineLevel="0" collapsed="false">
      <c r="A119" s="27" t="n">
        <v>45649</v>
      </c>
      <c r="B119" s="26" t="s">
        <v>36</v>
      </c>
      <c r="C119" s="26" t="n">
        <v>1155</v>
      </c>
      <c r="D119" s="26" t="n">
        <v>425</v>
      </c>
      <c r="E119" s="26" t="n">
        <v>93347</v>
      </c>
      <c r="F119" s="26" t="n">
        <v>2.02</v>
      </c>
      <c r="G119" s="26" t="n">
        <v>47502</v>
      </c>
      <c r="H119" s="26" t="n">
        <f aca="false">C119-D119</f>
        <v>730</v>
      </c>
    </row>
    <row r="120" customFormat="false" ht="15" hidden="false" customHeight="false" outlineLevel="0" collapsed="false">
      <c r="A120" s="27" t="n">
        <v>45649</v>
      </c>
      <c r="B120" s="26" t="s">
        <v>38</v>
      </c>
      <c r="C120" s="26" t="n">
        <v>1137</v>
      </c>
      <c r="D120" s="26" t="n">
        <v>226</v>
      </c>
      <c r="E120" s="26" t="n">
        <v>81119</v>
      </c>
      <c r="F120" s="26" t="n">
        <v>7.74</v>
      </c>
      <c r="G120" s="26" t="n">
        <v>35359</v>
      </c>
      <c r="H120" s="26" t="n">
        <f aca="false">C120-D120</f>
        <v>911</v>
      </c>
    </row>
    <row r="121" customFormat="false" ht="15" hidden="false" customHeight="false" outlineLevel="0" collapsed="false">
      <c r="A121" s="27" t="n">
        <v>45649</v>
      </c>
      <c r="B121" s="26" t="s">
        <v>39</v>
      </c>
      <c r="C121" s="26" t="n">
        <v>1900</v>
      </c>
      <c r="D121" s="26" t="n">
        <v>311</v>
      </c>
      <c r="E121" s="26" t="n">
        <v>25177</v>
      </c>
      <c r="F121" s="26" t="n">
        <v>2.89</v>
      </c>
      <c r="G121" s="26" t="n">
        <v>14154</v>
      </c>
      <c r="H121" s="26" t="n">
        <f aca="false">C121-D121</f>
        <v>1589</v>
      </c>
    </row>
    <row r="122" customFormat="false" ht="15" hidden="false" customHeight="false" outlineLevel="0" collapsed="false">
      <c r="A122" s="27" t="n">
        <v>45656</v>
      </c>
      <c r="B122" s="26" t="s">
        <v>37</v>
      </c>
      <c r="C122" s="26" t="n">
        <v>1814</v>
      </c>
      <c r="D122" s="26" t="n">
        <v>49</v>
      </c>
      <c r="E122" s="26" t="n">
        <v>140804</v>
      </c>
      <c r="F122" s="26" t="n">
        <v>1.76</v>
      </c>
      <c r="G122" s="26" t="n">
        <v>4313</v>
      </c>
      <c r="H122" s="26" t="n">
        <f aca="false">C122-D122</f>
        <v>1765</v>
      </c>
    </row>
    <row r="123" customFormat="false" ht="15" hidden="false" customHeight="false" outlineLevel="0" collapsed="false">
      <c r="A123" s="27" t="n">
        <v>45656</v>
      </c>
      <c r="B123" s="26" t="s">
        <v>36</v>
      </c>
      <c r="C123" s="26" t="n">
        <v>1980</v>
      </c>
      <c r="D123" s="26" t="n">
        <v>204</v>
      </c>
      <c r="E123" s="26" t="n">
        <v>379431</v>
      </c>
      <c r="F123" s="26" t="n">
        <v>3.09</v>
      </c>
      <c r="G123" s="26" t="n">
        <v>25140</v>
      </c>
      <c r="H123" s="26" t="n">
        <f aca="false">C123-D123</f>
        <v>1776</v>
      </c>
    </row>
    <row r="124" customFormat="false" ht="15" hidden="false" customHeight="false" outlineLevel="0" collapsed="false">
      <c r="A124" s="27" t="n">
        <v>45656</v>
      </c>
      <c r="B124" s="26" t="s">
        <v>38</v>
      </c>
      <c r="C124" s="26" t="n">
        <v>1786</v>
      </c>
      <c r="D124" s="26" t="n">
        <v>257</v>
      </c>
      <c r="E124" s="26" t="n">
        <v>274831</v>
      </c>
      <c r="F124" s="26" t="n">
        <v>4.68</v>
      </c>
      <c r="G124" s="26" t="n">
        <v>9118</v>
      </c>
      <c r="H124" s="26" t="n">
        <f aca="false">C124-D124</f>
        <v>1529</v>
      </c>
    </row>
    <row r="125" customFormat="false" ht="15" hidden="false" customHeight="false" outlineLevel="0" collapsed="false">
      <c r="A125" s="27" t="n">
        <v>45656</v>
      </c>
      <c r="B125" s="26" t="s">
        <v>39</v>
      </c>
      <c r="C125" s="26" t="n">
        <v>1495</v>
      </c>
      <c r="D125" s="26" t="n">
        <v>35</v>
      </c>
      <c r="E125" s="26" t="n">
        <v>136845</v>
      </c>
      <c r="F125" s="26" t="n">
        <v>4.48</v>
      </c>
      <c r="G125" s="26" t="n">
        <v>39931</v>
      </c>
      <c r="H125" s="26" t="n">
        <f aca="false">C125-D125</f>
        <v>1460</v>
      </c>
    </row>
    <row r="126" customFormat="false" ht="15" hidden="false" customHeight="false" outlineLevel="0" collapsed="false">
      <c r="A126" s="27" t="n">
        <v>45663</v>
      </c>
      <c r="B126" s="26" t="s">
        <v>37</v>
      </c>
      <c r="C126" s="26" t="n">
        <v>1013</v>
      </c>
      <c r="D126" s="26" t="n">
        <v>110</v>
      </c>
      <c r="E126" s="26" t="n">
        <v>466382</v>
      </c>
      <c r="F126" s="26" t="n">
        <v>5.3</v>
      </c>
      <c r="G126" s="26" t="n">
        <v>37132</v>
      </c>
      <c r="H126" s="26" t="n">
        <f aca="false">C126-D126</f>
        <v>903</v>
      </c>
    </row>
    <row r="127" customFormat="false" ht="15" hidden="false" customHeight="false" outlineLevel="0" collapsed="false">
      <c r="A127" s="27" t="n">
        <v>45663</v>
      </c>
      <c r="B127" s="26" t="s">
        <v>36</v>
      </c>
      <c r="C127" s="26" t="n">
        <v>816</v>
      </c>
      <c r="D127" s="26" t="n">
        <v>196</v>
      </c>
      <c r="E127" s="26" t="n">
        <v>95728</v>
      </c>
      <c r="F127" s="26" t="n">
        <v>8.2</v>
      </c>
      <c r="G127" s="26" t="n">
        <v>17951</v>
      </c>
      <c r="H127" s="26" t="n">
        <f aca="false">C127-D127</f>
        <v>620</v>
      </c>
    </row>
    <row r="128" customFormat="false" ht="15" hidden="false" customHeight="false" outlineLevel="0" collapsed="false">
      <c r="A128" s="27" t="n">
        <v>45663</v>
      </c>
      <c r="B128" s="26" t="s">
        <v>38</v>
      </c>
      <c r="C128" s="26" t="n">
        <v>1633</v>
      </c>
      <c r="D128" s="26" t="n">
        <v>445</v>
      </c>
      <c r="E128" s="26" t="n">
        <v>371156</v>
      </c>
      <c r="F128" s="26" t="n">
        <v>2.22</v>
      </c>
      <c r="G128" s="26" t="n">
        <v>2798</v>
      </c>
      <c r="H128" s="26" t="n">
        <f aca="false">C128-D128</f>
        <v>1188</v>
      </c>
    </row>
    <row r="129" customFormat="false" ht="15" hidden="false" customHeight="false" outlineLevel="0" collapsed="false">
      <c r="A129" s="27" t="n">
        <v>45663</v>
      </c>
      <c r="B129" s="26" t="s">
        <v>39</v>
      </c>
      <c r="C129" s="26" t="n">
        <v>891</v>
      </c>
      <c r="D129" s="26" t="n">
        <v>45</v>
      </c>
      <c r="E129" s="26" t="n">
        <v>95410</v>
      </c>
      <c r="F129" s="26" t="n">
        <v>8.33</v>
      </c>
      <c r="G129" s="26" t="n">
        <v>15045</v>
      </c>
      <c r="H129" s="26" t="n">
        <f aca="false">C129-D129</f>
        <v>846</v>
      </c>
    </row>
    <row r="130" customFormat="false" ht="15" hidden="false" customHeight="false" outlineLevel="0" collapsed="false">
      <c r="A130" s="27" t="n">
        <v>45670</v>
      </c>
      <c r="B130" s="26" t="s">
        <v>37</v>
      </c>
      <c r="C130" s="26" t="n">
        <v>1855</v>
      </c>
      <c r="D130" s="26" t="n">
        <v>133</v>
      </c>
      <c r="E130" s="26" t="n">
        <v>349413</v>
      </c>
      <c r="F130" s="26" t="n">
        <v>3.3</v>
      </c>
      <c r="G130" s="26" t="n">
        <v>14548</v>
      </c>
      <c r="H130" s="26" t="n">
        <f aca="false">C130-D130</f>
        <v>1722</v>
      </c>
    </row>
    <row r="131" customFormat="false" ht="15" hidden="false" customHeight="false" outlineLevel="0" collapsed="false">
      <c r="A131" s="27" t="n">
        <v>45670</v>
      </c>
      <c r="B131" s="26" t="s">
        <v>36</v>
      </c>
      <c r="C131" s="26" t="n">
        <v>651</v>
      </c>
      <c r="D131" s="26" t="n">
        <v>353</v>
      </c>
      <c r="E131" s="26" t="n">
        <v>224699</v>
      </c>
      <c r="F131" s="26" t="n">
        <v>5.61</v>
      </c>
      <c r="G131" s="26" t="n">
        <v>45708</v>
      </c>
      <c r="H131" s="26" t="n">
        <f aca="false">C131-D131</f>
        <v>298</v>
      </c>
    </row>
    <row r="132" customFormat="false" ht="15" hidden="false" customHeight="false" outlineLevel="0" collapsed="false">
      <c r="A132" s="27" t="n">
        <v>45670</v>
      </c>
      <c r="B132" s="26" t="s">
        <v>38</v>
      </c>
      <c r="C132" s="26" t="n">
        <v>118</v>
      </c>
      <c r="D132" s="26" t="n">
        <v>262</v>
      </c>
      <c r="E132" s="26" t="n">
        <v>487896</v>
      </c>
      <c r="F132" s="26" t="n">
        <v>2.56</v>
      </c>
      <c r="G132" s="26" t="n">
        <v>12350</v>
      </c>
      <c r="H132" s="26" t="n">
        <f aca="false">C132-D132</f>
        <v>-144</v>
      </c>
    </row>
    <row r="133" customFormat="false" ht="15" hidden="false" customHeight="false" outlineLevel="0" collapsed="false">
      <c r="A133" s="27" t="n">
        <v>45670</v>
      </c>
      <c r="B133" s="26" t="s">
        <v>39</v>
      </c>
      <c r="C133" s="26" t="n">
        <v>1331</v>
      </c>
      <c r="D133" s="26" t="n">
        <v>430</v>
      </c>
      <c r="E133" s="26" t="n">
        <v>14437</v>
      </c>
      <c r="F133" s="26" t="n">
        <v>3.29</v>
      </c>
      <c r="G133" s="26" t="n">
        <v>40868</v>
      </c>
      <c r="H133" s="26" t="n">
        <f aca="false">C133-D133</f>
        <v>901</v>
      </c>
    </row>
    <row r="134" customFormat="false" ht="15" hidden="false" customHeight="false" outlineLevel="0" collapsed="false">
      <c r="A134" s="27" t="n">
        <v>45677</v>
      </c>
      <c r="B134" s="26" t="s">
        <v>37</v>
      </c>
      <c r="C134" s="26" t="n">
        <v>1748</v>
      </c>
      <c r="D134" s="26" t="n">
        <v>176</v>
      </c>
      <c r="E134" s="26" t="n">
        <v>383681</v>
      </c>
      <c r="F134" s="26" t="n">
        <v>9.24</v>
      </c>
      <c r="G134" s="26" t="n">
        <v>43122</v>
      </c>
      <c r="H134" s="26" t="n">
        <f aca="false">C134-D134</f>
        <v>1572</v>
      </c>
    </row>
    <row r="135" customFormat="false" ht="15" hidden="false" customHeight="false" outlineLevel="0" collapsed="false">
      <c r="A135" s="27" t="n">
        <v>45677</v>
      </c>
      <c r="B135" s="26" t="s">
        <v>36</v>
      </c>
      <c r="C135" s="26" t="n">
        <v>663</v>
      </c>
      <c r="D135" s="26" t="n">
        <v>236</v>
      </c>
      <c r="E135" s="26" t="n">
        <v>479490</v>
      </c>
      <c r="F135" s="26" t="n">
        <v>4.51</v>
      </c>
      <c r="G135" s="26" t="n">
        <v>23853</v>
      </c>
      <c r="H135" s="26" t="n">
        <f aca="false">C135-D135</f>
        <v>427</v>
      </c>
    </row>
    <row r="136" customFormat="false" ht="15" hidden="false" customHeight="false" outlineLevel="0" collapsed="false">
      <c r="A136" s="27" t="n">
        <v>45677</v>
      </c>
      <c r="B136" s="26" t="s">
        <v>38</v>
      </c>
      <c r="C136" s="26" t="n">
        <v>1040</v>
      </c>
      <c r="D136" s="26" t="n">
        <v>149</v>
      </c>
      <c r="E136" s="26" t="n">
        <v>124404</v>
      </c>
      <c r="F136" s="26" t="n">
        <v>5.23</v>
      </c>
      <c r="G136" s="26" t="n">
        <v>45380</v>
      </c>
      <c r="H136" s="26" t="n">
        <f aca="false">C136-D136</f>
        <v>891</v>
      </c>
    </row>
    <row r="137" customFormat="false" ht="15" hidden="false" customHeight="false" outlineLevel="0" collapsed="false">
      <c r="A137" s="27" t="n">
        <v>45677</v>
      </c>
      <c r="B137" s="26" t="s">
        <v>39</v>
      </c>
      <c r="C137" s="26" t="n">
        <v>1166</v>
      </c>
      <c r="D137" s="26" t="n">
        <v>442</v>
      </c>
      <c r="E137" s="26" t="n">
        <v>336949</v>
      </c>
      <c r="F137" s="26" t="n">
        <v>4.68</v>
      </c>
      <c r="G137" s="26" t="n">
        <v>7705</v>
      </c>
      <c r="H137" s="26" t="n">
        <f aca="false">C137-D137</f>
        <v>724</v>
      </c>
    </row>
    <row r="138" customFormat="false" ht="15" hidden="false" customHeight="false" outlineLevel="0" collapsed="false">
      <c r="A138" s="27" t="n">
        <v>45684</v>
      </c>
      <c r="B138" s="26" t="s">
        <v>37</v>
      </c>
      <c r="C138" s="26" t="n">
        <v>115</v>
      </c>
      <c r="D138" s="26" t="n">
        <v>281</v>
      </c>
      <c r="E138" s="26" t="n">
        <v>357265</v>
      </c>
      <c r="F138" s="26" t="n">
        <v>9.23</v>
      </c>
      <c r="G138" s="26" t="n">
        <v>25525</v>
      </c>
      <c r="H138" s="26" t="n">
        <f aca="false">C138-D138</f>
        <v>-166</v>
      </c>
    </row>
    <row r="139" customFormat="false" ht="15" hidden="false" customHeight="false" outlineLevel="0" collapsed="false">
      <c r="A139" s="27" t="n">
        <v>45684</v>
      </c>
      <c r="B139" s="26" t="s">
        <v>36</v>
      </c>
      <c r="C139" s="26" t="n">
        <v>1249</v>
      </c>
      <c r="D139" s="26" t="n">
        <v>351</v>
      </c>
      <c r="E139" s="26" t="n">
        <v>321307</v>
      </c>
      <c r="F139" s="26" t="n">
        <v>6.37</v>
      </c>
      <c r="G139" s="26" t="n">
        <v>20560</v>
      </c>
      <c r="H139" s="26" t="n">
        <f aca="false">C139-D139</f>
        <v>898</v>
      </c>
    </row>
    <row r="140" customFormat="false" ht="15" hidden="false" customHeight="false" outlineLevel="0" collapsed="false">
      <c r="A140" s="27" t="n">
        <v>45684</v>
      </c>
      <c r="B140" s="26" t="s">
        <v>38</v>
      </c>
      <c r="C140" s="26" t="n">
        <v>1501</v>
      </c>
      <c r="D140" s="26" t="n">
        <v>75</v>
      </c>
      <c r="E140" s="26" t="n">
        <v>262569</v>
      </c>
      <c r="F140" s="26" t="n">
        <v>2.01</v>
      </c>
      <c r="G140" s="26" t="n">
        <v>19119</v>
      </c>
      <c r="H140" s="26" t="n">
        <f aca="false">C140-D140</f>
        <v>1426</v>
      </c>
    </row>
    <row r="141" customFormat="false" ht="15" hidden="false" customHeight="false" outlineLevel="0" collapsed="false">
      <c r="A141" s="27" t="n">
        <v>45684</v>
      </c>
      <c r="B141" s="26" t="s">
        <v>39</v>
      </c>
      <c r="C141" s="26" t="n">
        <v>1411</v>
      </c>
      <c r="D141" s="26" t="n">
        <v>186</v>
      </c>
      <c r="E141" s="26" t="n">
        <v>461669</v>
      </c>
      <c r="F141" s="26" t="n">
        <v>3.72</v>
      </c>
      <c r="G141" s="26" t="n">
        <v>43999</v>
      </c>
      <c r="H141" s="26" t="n">
        <f aca="false">C141-D141</f>
        <v>1225</v>
      </c>
    </row>
    <row r="142" customFormat="false" ht="15" hidden="false" customHeight="false" outlineLevel="0" collapsed="false">
      <c r="A142" s="27" t="n">
        <v>45691</v>
      </c>
      <c r="B142" s="26" t="s">
        <v>37</v>
      </c>
      <c r="C142" s="26" t="n">
        <v>1556</v>
      </c>
      <c r="D142" s="26" t="n">
        <v>476</v>
      </c>
      <c r="E142" s="26" t="n">
        <v>351556</v>
      </c>
      <c r="F142" s="26" t="n">
        <v>3.89</v>
      </c>
      <c r="G142" s="26" t="n">
        <v>10825</v>
      </c>
      <c r="H142" s="26" t="n">
        <f aca="false">C142-D142</f>
        <v>1080</v>
      </c>
    </row>
    <row r="143" customFormat="false" ht="15" hidden="false" customHeight="false" outlineLevel="0" collapsed="false">
      <c r="A143" s="27" t="n">
        <v>45691</v>
      </c>
      <c r="B143" s="26" t="s">
        <v>36</v>
      </c>
      <c r="C143" s="26" t="n">
        <v>1159</v>
      </c>
      <c r="D143" s="26" t="n">
        <v>411</v>
      </c>
      <c r="E143" s="26" t="n">
        <v>135987</v>
      </c>
      <c r="F143" s="26" t="n">
        <v>8.7</v>
      </c>
      <c r="G143" s="26" t="n">
        <v>40323</v>
      </c>
      <c r="H143" s="26" t="n">
        <f aca="false">C143-D143</f>
        <v>748</v>
      </c>
    </row>
    <row r="144" customFormat="false" ht="15" hidden="false" customHeight="false" outlineLevel="0" collapsed="false">
      <c r="A144" s="27" t="n">
        <v>45691</v>
      </c>
      <c r="B144" s="26" t="s">
        <v>38</v>
      </c>
      <c r="C144" s="26" t="n">
        <v>927</v>
      </c>
      <c r="D144" s="26" t="n">
        <v>358</v>
      </c>
      <c r="E144" s="26" t="n">
        <v>177554</v>
      </c>
      <c r="F144" s="26" t="n">
        <v>6.95</v>
      </c>
      <c r="G144" s="26" t="n">
        <v>48270</v>
      </c>
      <c r="H144" s="26" t="n">
        <f aca="false">C144-D144</f>
        <v>569</v>
      </c>
    </row>
    <row r="145" customFormat="false" ht="15" hidden="false" customHeight="false" outlineLevel="0" collapsed="false">
      <c r="A145" s="27" t="n">
        <v>45691</v>
      </c>
      <c r="B145" s="26" t="s">
        <v>39</v>
      </c>
      <c r="C145" s="26" t="n">
        <v>152</v>
      </c>
      <c r="D145" s="26" t="n">
        <v>355</v>
      </c>
      <c r="E145" s="26" t="n">
        <v>270766</v>
      </c>
      <c r="F145" s="26" t="n">
        <v>9.48</v>
      </c>
      <c r="G145" s="26" t="n">
        <v>18001</v>
      </c>
      <c r="H145" s="26" t="n">
        <f aca="false">C145-D145</f>
        <v>-203</v>
      </c>
    </row>
    <row r="146" customFormat="false" ht="15" hidden="false" customHeight="false" outlineLevel="0" collapsed="false">
      <c r="A146" s="27" t="n">
        <v>45698</v>
      </c>
      <c r="B146" s="26" t="s">
        <v>37</v>
      </c>
      <c r="C146" s="26" t="n">
        <v>1957</v>
      </c>
      <c r="D146" s="26" t="n">
        <v>234</v>
      </c>
      <c r="E146" s="26" t="n">
        <v>222126</v>
      </c>
      <c r="F146" s="26" t="n">
        <v>4.61</v>
      </c>
      <c r="G146" s="26" t="n">
        <v>3314</v>
      </c>
      <c r="H146" s="26" t="n">
        <f aca="false">C146-D146</f>
        <v>1723</v>
      </c>
    </row>
    <row r="147" customFormat="false" ht="15" hidden="false" customHeight="false" outlineLevel="0" collapsed="false">
      <c r="A147" s="27" t="n">
        <v>45698</v>
      </c>
      <c r="B147" s="26" t="s">
        <v>36</v>
      </c>
      <c r="C147" s="26" t="n">
        <v>1294</v>
      </c>
      <c r="D147" s="26" t="n">
        <v>382</v>
      </c>
      <c r="E147" s="26" t="n">
        <v>309914</v>
      </c>
      <c r="F147" s="26" t="n">
        <v>8.03</v>
      </c>
      <c r="G147" s="26" t="n">
        <v>23489</v>
      </c>
      <c r="H147" s="26" t="n">
        <f aca="false">C147-D147</f>
        <v>912</v>
      </c>
    </row>
    <row r="148" customFormat="false" ht="15" hidden="false" customHeight="false" outlineLevel="0" collapsed="false">
      <c r="A148" s="27" t="n">
        <v>45698</v>
      </c>
      <c r="B148" s="26" t="s">
        <v>38</v>
      </c>
      <c r="C148" s="26" t="n">
        <v>1587</v>
      </c>
      <c r="D148" s="26" t="n">
        <v>385</v>
      </c>
      <c r="E148" s="26" t="n">
        <v>126582</v>
      </c>
      <c r="F148" s="26" t="n">
        <v>6.99</v>
      </c>
      <c r="G148" s="26" t="n">
        <v>42832</v>
      </c>
      <c r="H148" s="26" t="n">
        <f aca="false">C148-D148</f>
        <v>1202</v>
      </c>
    </row>
    <row r="149" customFormat="false" ht="15" hidden="false" customHeight="false" outlineLevel="0" collapsed="false">
      <c r="A149" s="27" t="n">
        <v>45698</v>
      </c>
      <c r="B149" s="26" t="s">
        <v>39</v>
      </c>
      <c r="C149" s="26" t="n">
        <v>1707</v>
      </c>
      <c r="D149" s="26" t="n">
        <v>263</v>
      </c>
      <c r="E149" s="26" t="n">
        <v>485280</v>
      </c>
      <c r="F149" s="26" t="n">
        <v>9.03</v>
      </c>
      <c r="G149" s="26" t="n">
        <v>24494</v>
      </c>
      <c r="H149" s="26" t="n">
        <f aca="false">C149-D149</f>
        <v>1444</v>
      </c>
    </row>
    <row r="150" customFormat="false" ht="15" hidden="false" customHeight="false" outlineLevel="0" collapsed="false">
      <c r="A150" s="27" t="n">
        <v>45705</v>
      </c>
      <c r="B150" s="26" t="s">
        <v>37</v>
      </c>
      <c r="C150" s="26" t="n">
        <v>1138</v>
      </c>
      <c r="D150" s="26" t="n">
        <v>173</v>
      </c>
      <c r="E150" s="26" t="n">
        <v>453243</v>
      </c>
      <c r="F150" s="26" t="n">
        <v>2.86</v>
      </c>
      <c r="G150" s="26" t="n">
        <v>44097</v>
      </c>
      <c r="H150" s="26" t="n">
        <f aca="false">C150-D150</f>
        <v>965</v>
      </c>
    </row>
    <row r="151" customFormat="false" ht="15" hidden="false" customHeight="false" outlineLevel="0" collapsed="false">
      <c r="A151" s="27" t="n">
        <v>45705</v>
      </c>
      <c r="B151" s="26" t="s">
        <v>36</v>
      </c>
      <c r="C151" s="26" t="n">
        <v>1895</v>
      </c>
      <c r="D151" s="26" t="n">
        <v>305</v>
      </c>
      <c r="E151" s="26" t="n">
        <v>104967</v>
      </c>
      <c r="F151" s="26" t="n">
        <v>3.85</v>
      </c>
      <c r="G151" s="26" t="n">
        <v>31853</v>
      </c>
      <c r="H151" s="26" t="n">
        <f aca="false">C151-D151</f>
        <v>1590</v>
      </c>
    </row>
    <row r="152" customFormat="false" ht="15" hidden="false" customHeight="false" outlineLevel="0" collapsed="false">
      <c r="A152" s="27" t="n">
        <v>45705</v>
      </c>
      <c r="B152" s="26" t="s">
        <v>38</v>
      </c>
      <c r="C152" s="26" t="n">
        <v>362</v>
      </c>
      <c r="D152" s="26" t="n">
        <v>399</v>
      </c>
      <c r="E152" s="26" t="n">
        <v>145608</v>
      </c>
      <c r="F152" s="26" t="n">
        <v>7.3</v>
      </c>
      <c r="G152" s="26" t="n">
        <v>37636</v>
      </c>
      <c r="H152" s="26" t="n">
        <f aca="false">C152-D152</f>
        <v>-37</v>
      </c>
    </row>
    <row r="153" customFormat="false" ht="15" hidden="false" customHeight="false" outlineLevel="0" collapsed="false">
      <c r="A153" s="27" t="n">
        <v>45705</v>
      </c>
      <c r="B153" s="26" t="s">
        <v>39</v>
      </c>
      <c r="C153" s="26" t="n">
        <v>1662</v>
      </c>
      <c r="D153" s="26" t="n">
        <v>487</v>
      </c>
      <c r="E153" s="26" t="n">
        <v>105980</v>
      </c>
      <c r="F153" s="26" t="n">
        <v>9.08</v>
      </c>
      <c r="G153" s="26" t="n">
        <v>22996</v>
      </c>
      <c r="H153" s="26" t="n">
        <f aca="false">C153-D153</f>
        <v>1175</v>
      </c>
    </row>
    <row r="154" customFormat="false" ht="15" hidden="false" customHeight="false" outlineLevel="0" collapsed="false">
      <c r="A154" s="27" t="n">
        <v>45712</v>
      </c>
      <c r="B154" s="26" t="s">
        <v>37</v>
      </c>
      <c r="C154" s="26" t="n">
        <v>1440</v>
      </c>
      <c r="D154" s="26" t="n">
        <v>65</v>
      </c>
      <c r="E154" s="26" t="n">
        <v>126524</v>
      </c>
      <c r="F154" s="26" t="n">
        <v>4.34</v>
      </c>
      <c r="G154" s="26" t="n">
        <v>49772</v>
      </c>
      <c r="H154" s="26" t="n">
        <f aca="false">C154-D154</f>
        <v>1375</v>
      </c>
    </row>
    <row r="155" customFormat="false" ht="15" hidden="false" customHeight="false" outlineLevel="0" collapsed="false">
      <c r="A155" s="27" t="n">
        <v>45712</v>
      </c>
      <c r="B155" s="26" t="s">
        <v>36</v>
      </c>
      <c r="C155" s="26" t="n">
        <v>1884</v>
      </c>
      <c r="D155" s="26" t="n">
        <v>177</v>
      </c>
      <c r="E155" s="26" t="n">
        <v>230448</v>
      </c>
      <c r="F155" s="26" t="n">
        <v>7.8</v>
      </c>
      <c r="G155" s="26" t="n">
        <v>22713</v>
      </c>
      <c r="H155" s="26" t="n">
        <f aca="false">C155-D155</f>
        <v>1707</v>
      </c>
    </row>
    <row r="156" customFormat="false" ht="15" hidden="false" customHeight="false" outlineLevel="0" collapsed="false">
      <c r="A156" s="27" t="n">
        <v>45712</v>
      </c>
      <c r="B156" s="26" t="s">
        <v>38</v>
      </c>
      <c r="C156" s="26" t="n">
        <v>861</v>
      </c>
      <c r="D156" s="26" t="n">
        <v>153</v>
      </c>
      <c r="E156" s="26" t="n">
        <v>317007</v>
      </c>
      <c r="F156" s="26" t="n">
        <v>3.85</v>
      </c>
      <c r="G156" s="26" t="n">
        <v>8718</v>
      </c>
      <c r="H156" s="26" t="n">
        <f aca="false">C156-D156</f>
        <v>708</v>
      </c>
    </row>
    <row r="157" customFormat="false" ht="15" hidden="false" customHeight="false" outlineLevel="0" collapsed="false">
      <c r="A157" s="27" t="n">
        <v>45712</v>
      </c>
      <c r="B157" s="26" t="s">
        <v>39</v>
      </c>
      <c r="C157" s="26" t="n">
        <v>1063</v>
      </c>
      <c r="D157" s="26" t="n">
        <v>47</v>
      </c>
      <c r="E157" s="26" t="n">
        <v>464239</v>
      </c>
      <c r="F157" s="26" t="n">
        <v>6.58</v>
      </c>
      <c r="G157" s="26" t="n">
        <v>39031</v>
      </c>
      <c r="H157" s="26" t="n">
        <f aca="false">C157-D157</f>
        <v>1016</v>
      </c>
    </row>
    <row r="158" customFormat="false" ht="15" hidden="false" customHeight="false" outlineLevel="0" collapsed="false">
      <c r="A158" s="27" t="n">
        <v>45719</v>
      </c>
      <c r="B158" s="26" t="s">
        <v>37</v>
      </c>
      <c r="C158" s="26" t="n">
        <v>1371</v>
      </c>
      <c r="D158" s="26" t="n">
        <v>56</v>
      </c>
      <c r="E158" s="26" t="n">
        <v>257579</v>
      </c>
      <c r="F158" s="26" t="n">
        <v>8.62</v>
      </c>
      <c r="G158" s="26" t="n">
        <v>33799</v>
      </c>
      <c r="H158" s="26" t="n">
        <f aca="false">C158-D158</f>
        <v>1315</v>
      </c>
    </row>
    <row r="159" customFormat="false" ht="15" hidden="false" customHeight="false" outlineLevel="0" collapsed="false">
      <c r="A159" s="27" t="n">
        <v>45719</v>
      </c>
      <c r="B159" s="26" t="s">
        <v>36</v>
      </c>
      <c r="C159" s="26" t="n">
        <v>345</v>
      </c>
      <c r="D159" s="26" t="n">
        <v>464</v>
      </c>
      <c r="E159" s="26" t="n">
        <v>366881</v>
      </c>
      <c r="F159" s="26" t="n">
        <v>4.55</v>
      </c>
      <c r="G159" s="26" t="n">
        <v>20553</v>
      </c>
      <c r="H159" s="26" t="n">
        <f aca="false">C159-D159</f>
        <v>-119</v>
      </c>
    </row>
    <row r="160" customFormat="false" ht="15" hidden="false" customHeight="false" outlineLevel="0" collapsed="false">
      <c r="A160" s="27" t="n">
        <v>45719</v>
      </c>
      <c r="B160" s="26" t="s">
        <v>38</v>
      </c>
      <c r="C160" s="26" t="n">
        <v>946</v>
      </c>
      <c r="D160" s="26" t="n">
        <v>47</v>
      </c>
      <c r="E160" s="26" t="n">
        <v>466575</v>
      </c>
      <c r="F160" s="26" t="n">
        <v>8.33</v>
      </c>
      <c r="G160" s="26" t="n">
        <v>10002</v>
      </c>
      <c r="H160" s="26" t="n">
        <f aca="false">C160-D160</f>
        <v>899</v>
      </c>
    </row>
    <row r="161" customFormat="false" ht="15" hidden="false" customHeight="false" outlineLevel="0" collapsed="false">
      <c r="A161" s="27" t="n">
        <v>45719</v>
      </c>
      <c r="B161" s="26" t="s">
        <v>39</v>
      </c>
      <c r="C161" s="26" t="n">
        <v>510</v>
      </c>
      <c r="D161" s="26" t="n">
        <v>195</v>
      </c>
      <c r="E161" s="26" t="n">
        <v>224534</v>
      </c>
      <c r="F161" s="26" t="n">
        <v>9.4</v>
      </c>
      <c r="G161" s="26" t="n">
        <v>30987</v>
      </c>
      <c r="H161" s="26" t="n">
        <f aca="false">C161-D161</f>
        <v>315</v>
      </c>
    </row>
    <row r="162" customFormat="false" ht="15" hidden="false" customHeight="false" outlineLevel="0" collapsed="false">
      <c r="A162" s="27" t="n">
        <v>45726</v>
      </c>
      <c r="B162" s="26" t="s">
        <v>37</v>
      </c>
      <c r="C162" s="26" t="n">
        <v>393</v>
      </c>
      <c r="D162" s="26" t="n">
        <v>181</v>
      </c>
      <c r="E162" s="26" t="n">
        <v>462142</v>
      </c>
      <c r="F162" s="26" t="n">
        <v>7.23</v>
      </c>
      <c r="G162" s="26" t="n">
        <v>6296</v>
      </c>
      <c r="H162" s="26" t="n">
        <f aca="false">C162-D162</f>
        <v>212</v>
      </c>
    </row>
    <row r="163" customFormat="false" ht="15" hidden="false" customHeight="false" outlineLevel="0" collapsed="false">
      <c r="A163" s="27" t="n">
        <v>45726</v>
      </c>
      <c r="B163" s="26" t="s">
        <v>36</v>
      </c>
      <c r="C163" s="26" t="n">
        <v>1098</v>
      </c>
      <c r="D163" s="26" t="n">
        <v>190</v>
      </c>
      <c r="E163" s="26" t="n">
        <v>340842</v>
      </c>
      <c r="F163" s="26" t="n">
        <v>9.39</v>
      </c>
      <c r="G163" s="26" t="n">
        <v>21539</v>
      </c>
      <c r="H163" s="26" t="n">
        <f aca="false">C163-D163</f>
        <v>908</v>
      </c>
    </row>
    <row r="164" customFormat="false" ht="15" hidden="false" customHeight="false" outlineLevel="0" collapsed="false">
      <c r="A164" s="27" t="n">
        <v>45726</v>
      </c>
      <c r="B164" s="26" t="s">
        <v>38</v>
      </c>
      <c r="C164" s="26" t="n">
        <v>1399</v>
      </c>
      <c r="D164" s="26" t="n">
        <v>49</v>
      </c>
      <c r="E164" s="26" t="n">
        <v>12471</v>
      </c>
      <c r="F164" s="26" t="n">
        <v>5.12</v>
      </c>
      <c r="G164" s="26" t="n">
        <v>14722</v>
      </c>
      <c r="H164" s="26" t="n">
        <f aca="false">C164-D164</f>
        <v>1350</v>
      </c>
    </row>
    <row r="165" customFormat="false" ht="15" hidden="false" customHeight="false" outlineLevel="0" collapsed="false">
      <c r="A165" s="27" t="n">
        <v>45726</v>
      </c>
      <c r="B165" s="26" t="s">
        <v>39</v>
      </c>
      <c r="C165" s="26" t="n">
        <v>1658</v>
      </c>
      <c r="D165" s="26" t="n">
        <v>416</v>
      </c>
      <c r="E165" s="26" t="n">
        <v>98397</v>
      </c>
      <c r="F165" s="26" t="n">
        <v>6.11</v>
      </c>
      <c r="G165" s="26" t="n">
        <v>11383</v>
      </c>
      <c r="H165" s="26" t="n">
        <f aca="false">C165-D165</f>
        <v>1242</v>
      </c>
    </row>
    <row r="166" customFormat="false" ht="15" hidden="false" customHeight="false" outlineLevel="0" collapsed="false">
      <c r="A166" s="27" t="n">
        <v>45733</v>
      </c>
      <c r="B166" s="26" t="s">
        <v>37</v>
      </c>
      <c r="C166" s="26" t="n">
        <v>1102</v>
      </c>
      <c r="D166" s="26" t="n">
        <v>422</v>
      </c>
      <c r="E166" s="26" t="n">
        <v>410330</v>
      </c>
      <c r="F166" s="26" t="n">
        <v>7.74</v>
      </c>
      <c r="G166" s="26" t="n">
        <v>9480</v>
      </c>
      <c r="H166" s="26" t="n">
        <f aca="false">C166-D166</f>
        <v>680</v>
      </c>
    </row>
    <row r="167" customFormat="false" ht="15" hidden="false" customHeight="false" outlineLevel="0" collapsed="false">
      <c r="A167" s="27" t="n">
        <v>45733</v>
      </c>
      <c r="B167" s="26" t="s">
        <v>36</v>
      </c>
      <c r="C167" s="26" t="n">
        <v>1358</v>
      </c>
      <c r="D167" s="26" t="n">
        <v>242</v>
      </c>
      <c r="E167" s="26" t="n">
        <v>342129</v>
      </c>
      <c r="F167" s="26" t="n">
        <v>4.94</v>
      </c>
      <c r="G167" s="26" t="n">
        <v>29116</v>
      </c>
      <c r="H167" s="26" t="n">
        <f aca="false">C167-D167</f>
        <v>1116</v>
      </c>
    </row>
    <row r="168" customFormat="false" ht="15" hidden="false" customHeight="false" outlineLevel="0" collapsed="false">
      <c r="A168" s="27" t="n">
        <v>45733</v>
      </c>
      <c r="B168" s="26" t="s">
        <v>38</v>
      </c>
      <c r="C168" s="26" t="n">
        <v>1077</v>
      </c>
      <c r="D168" s="26" t="n">
        <v>216</v>
      </c>
      <c r="E168" s="26" t="n">
        <v>12447</v>
      </c>
      <c r="F168" s="26" t="n">
        <v>1.8</v>
      </c>
      <c r="G168" s="26" t="n">
        <v>14068</v>
      </c>
      <c r="H168" s="26" t="n">
        <f aca="false">C168-D168</f>
        <v>861</v>
      </c>
    </row>
    <row r="169" customFormat="false" ht="15" hidden="false" customHeight="false" outlineLevel="0" collapsed="false">
      <c r="A169" s="27" t="n">
        <v>45733</v>
      </c>
      <c r="B169" s="26" t="s">
        <v>39</v>
      </c>
      <c r="C169" s="26" t="n">
        <v>1596</v>
      </c>
      <c r="D169" s="26" t="n">
        <v>211</v>
      </c>
      <c r="E169" s="26" t="n">
        <v>17380</v>
      </c>
      <c r="F169" s="26" t="n">
        <v>8.64</v>
      </c>
      <c r="G169" s="26" t="n">
        <v>35801</v>
      </c>
      <c r="H169" s="26" t="n">
        <f aca="false">C169-D169</f>
        <v>1385</v>
      </c>
    </row>
    <row r="170" customFormat="false" ht="15" hidden="false" customHeight="false" outlineLevel="0" collapsed="false">
      <c r="A170" s="27" t="n">
        <v>45740</v>
      </c>
      <c r="B170" s="26" t="s">
        <v>37</v>
      </c>
      <c r="C170" s="26" t="n">
        <v>490</v>
      </c>
      <c r="D170" s="26" t="n">
        <v>29</v>
      </c>
      <c r="E170" s="26" t="n">
        <v>364810</v>
      </c>
      <c r="F170" s="26" t="n">
        <v>1.53</v>
      </c>
      <c r="G170" s="26" t="n">
        <v>49077</v>
      </c>
      <c r="H170" s="26" t="n">
        <f aca="false">C170-D170</f>
        <v>461</v>
      </c>
    </row>
    <row r="171" customFormat="false" ht="15" hidden="false" customHeight="false" outlineLevel="0" collapsed="false">
      <c r="A171" s="27" t="n">
        <v>45740</v>
      </c>
      <c r="B171" s="26" t="s">
        <v>36</v>
      </c>
      <c r="C171" s="26" t="n">
        <v>609</v>
      </c>
      <c r="D171" s="26" t="n">
        <v>135</v>
      </c>
      <c r="E171" s="26" t="n">
        <v>373606</v>
      </c>
      <c r="F171" s="26" t="n">
        <v>8.52</v>
      </c>
      <c r="G171" s="26" t="n">
        <v>21453</v>
      </c>
      <c r="H171" s="26" t="n">
        <f aca="false">C171-D171</f>
        <v>474</v>
      </c>
    </row>
    <row r="172" customFormat="false" ht="15" hidden="false" customHeight="false" outlineLevel="0" collapsed="false">
      <c r="A172" s="27" t="n">
        <v>45740</v>
      </c>
      <c r="B172" s="26" t="s">
        <v>38</v>
      </c>
      <c r="C172" s="26" t="n">
        <v>364</v>
      </c>
      <c r="D172" s="26" t="n">
        <v>72</v>
      </c>
      <c r="E172" s="26" t="n">
        <v>211090</v>
      </c>
      <c r="F172" s="26" t="n">
        <v>5.53</v>
      </c>
      <c r="G172" s="26" t="n">
        <v>21061</v>
      </c>
      <c r="H172" s="26" t="n">
        <f aca="false">C172-D172</f>
        <v>292</v>
      </c>
    </row>
    <row r="173" customFormat="false" ht="15" hidden="false" customHeight="false" outlineLevel="0" collapsed="false">
      <c r="A173" s="27" t="n">
        <v>45740</v>
      </c>
      <c r="B173" s="26" t="s">
        <v>39</v>
      </c>
      <c r="C173" s="26" t="n">
        <v>442</v>
      </c>
      <c r="D173" s="26" t="n">
        <v>53</v>
      </c>
      <c r="E173" s="26" t="n">
        <v>441931</v>
      </c>
      <c r="F173" s="26" t="n">
        <v>1.87</v>
      </c>
      <c r="G173" s="26" t="n">
        <v>20059</v>
      </c>
      <c r="H173" s="26" t="n">
        <f aca="false">C173-D173</f>
        <v>389</v>
      </c>
    </row>
    <row r="174" customFormat="false" ht="15" hidden="false" customHeight="false" outlineLevel="0" collapsed="false">
      <c r="A174" s="27" t="n">
        <v>45747</v>
      </c>
      <c r="B174" s="26" t="s">
        <v>37</v>
      </c>
      <c r="C174" s="26" t="n">
        <v>1033</v>
      </c>
      <c r="D174" s="26" t="n">
        <v>392</v>
      </c>
      <c r="E174" s="26" t="n">
        <v>282780</v>
      </c>
      <c r="F174" s="26" t="n">
        <v>6.27</v>
      </c>
      <c r="G174" s="26" t="n">
        <v>23140</v>
      </c>
      <c r="H174" s="26" t="n">
        <f aca="false">C174-D174</f>
        <v>641</v>
      </c>
    </row>
    <row r="175" customFormat="false" ht="15" hidden="false" customHeight="false" outlineLevel="0" collapsed="false">
      <c r="A175" s="27" t="n">
        <v>45747</v>
      </c>
      <c r="B175" s="26" t="s">
        <v>36</v>
      </c>
      <c r="C175" s="26" t="n">
        <v>988</v>
      </c>
      <c r="D175" s="26" t="n">
        <v>474</v>
      </c>
      <c r="E175" s="26" t="n">
        <v>370070</v>
      </c>
      <c r="F175" s="26" t="n">
        <v>9.46</v>
      </c>
      <c r="G175" s="26" t="n">
        <v>23461</v>
      </c>
      <c r="H175" s="26" t="n">
        <f aca="false">C175-D175</f>
        <v>514</v>
      </c>
    </row>
    <row r="176" customFormat="false" ht="15" hidden="false" customHeight="false" outlineLevel="0" collapsed="false">
      <c r="A176" s="27" t="n">
        <v>45747</v>
      </c>
      <c r="B176" s="26" t="s">
        <v>38</v>
      </c>
      <c r="C176" s="26" t="n">
        <v>1946</v>
      </c>
      <c r="D176" s="26" t="n">
        <v>270</v>
      </c>
      <c r="E176" s="26" t="n">
        <v>198350</v>
      </c>
      <c r="F176" s="26" t="n">
        <v>7.5</v>
      </c>
      <c r="G176" s="26" t="n">
        <v>11805</v>
      </c>
      <c r="H176" s="26" t="n">
        <f aca="false">C176-D176</f>
        <v>1676</v>
      </c>
    </row>
    <row r="177" customFormat="false" ht="15" hidden="false" customHeight="false" outlineLevel="0" collapsed="false">
      <c r="A177" s="27" t="n">
        <v>45747</v>
      </c>
      <c r="B177" s="26" t="s">
        <v>39</v>
      </c>
      <c r="C177" s="26" t="n">
        <v>1957</v>
      </c>
      <c r="D177" s="26" t="n">
        <v>490</v>
      </c>
      <c r="E177" s="26" t="n">
        <v>435726</v>
      </c>
      <c r="F177" s="26" t="n">
        <v>4.73</v>
      </c>
      <c r="G177" s="26" t="n">
        <v>15969</v>
      </c>
      <c r="H177" s="26" t="n">
        <f aca="false">C177-D177</f>
        <v>1467</v>
      </c>
    </row>
    <row r="178" customFormat="false" ht="15" hidden="false" customHeight="false" outlineLevel="0" collapsed="false">
      <c r="A178" s="27" t="n">
        <v>45754</v>
      </c>
      <c r="B178" s="26" t="s">
        <v>37</v>
      </c>
      <c r="C178" s="26" t="n">
        <v>559</v>
      </c>
      <c r="D178" s="26" t="n">
        <v>392</v>
      </c>
      <c r="E178" s="26" t="n">
        <v>78789</v>
      </c>
      <c r="F178" s="26" t="n">
        <v>3.19</v>
      </c>
      <c r="G178" s="26" t="n">
        <v>2436</v>
      </c>
      <c r="H178" s="26" t="n">
        <f aca="false">C178-D178</f>
        <v>167</v>
      </c>
    </row>
    <row r="179" customFormat="false" ht="15" hidden="false" customHeight="false" outlineLevel="0" collapsed="false">
      <c r="A179" s="27" t="n">
        <v>45754</v>
      </c>
      <c r="B179" s="26" t="s">
        <v>36</v>
      </c>
      <c r="C179" s="26" t="n">
        <v>1307</v>
      </c>
      <c r="D179" s="26" t="n">
        <v>278</v>
      </c>
      <c r="E179" s="26" t="n">
        <v>98596</v>
      </c>
      <c r="F179" s="26" t="n">
        <v>2.49</v>
      </c>
      <c r="G179" s="26" t="n">
        <v>47603</v>
      </c>
      <c r="H179" s="26" t="n">
        <f aca="false">C179-D179</f>
        <v>1029</v>
      </c>
    </row>
    <row r="180" customFormat="false" ht="15" hidden="false" customHeight="false" outlineLevel="0" collapsed="false">
      <c r="A180" s="27" t="n">
        <v>45754</v>
      </c>
      <c r="B180" s="26" t="s">
        <v>38</v>
      </c>
      <c r="C180" s="26" t="n">
        <v>1432</v>
      </c>
      <c r="D180" s="26" t="n">
        <v>425</v>
      </c>
      <c r="E180" s="26" t="n">
        <v>29589</v>
      </c>
      <c r="F180" s="26" t="n">
        <v>4.5</v>
      </c>
      <c r="G180" s="26" t="n">
        <v>42964</v>
      </c>
      <c r="H180" s="26" t="n">
        <f aca="false">C180-D180</f>
        <v>1007</v>
      </c>
    </row>
    <row r="181" customFormat="false" ht="15" hidden="false" customHeight="false" outlineLevel="0" collapsed="false">
      <c r="A181" s="27" t="n">
        <v>45754</v>
      </c>
      <c r="B181" s="26" t="s">
        <v>39</v>
      </c>
      <c r="C181" s="26" t="n">
        <v>623</v>
      </c>
      <c r="D181" s="26" t="n">
        <v>414</v>
      </c>
      <c r="E181" s="26" t="n">
        <v>290354</v>
      </c>
      <c r="F181" s="26" t="n">
        <v>6.49</v>
      </c>
      <c r="G181" s="26" t="n">
        <v>39923</v>
      </c>
      <c r="H181" s="26" t="n">
        <f aca="false">C181-D181</f>
        <v>209</v>
      </c>
    </row>
    <row r="182" customFormat="false" ht="15" hidden="false" customHeight="false" outlineLevel="0" collapsed="false">
      <c r="A182" s="27" t="n">
        <v>45761</v>
      </c>
      <c r="B182" s="26" t="s">
        <v>37</v>
      </c>
      <c r="C182" s="26" t="n">
        <v>198</v>
      </c>
      <c r="D182" s="26" t="n">
        <v>358</v>
      </c>
      <c r="E182" s="26" t="n">
        <v>66682</v>
      </c>
      <c r="F182" s="26" t="n">
        <v>6.73</v>
      </c>
      <c r="G182" s="26" t="n">
        <v>2293</v>
      </c>
      <c r="H182" s="26" t="n">
        <f aca="false">C182-D182</f>
        <v>-160</v>
      </c>
    </row>
    <row r="183" customFormat="false" ht="15" hidden="false" customHeight="false" outlineLevel="0" collapsed="false">
      <c r="A183" s="27" t="n">
        <v>45761</v>
      </c>
      <c r="B183" s="26" t="s">
        <v>36</v>
      </c>
      <c r="C183" s="26" t="n">
        <v>198</v>
      </c>
      <c r="D183" s="26" t="n">
        <v>373</v>
      </c>
      <c r="E183" s="26" t="n">
        <v>70707</v>
      </c>
      <c r="F183" s="26" t="n">
        <v>4.83</v>
      </c>
      <c r="G183" s="26" t="n">
        <v>25920</v>
      </c>
      <c r="H183" s="26" t="n">
        <f aca="false">C183-D183</f>
        <v>-175</v>
      </c>
    </row>
    <row r="184" customFormat="false" ht="15" hidden="false" customHeight="false" outlineLevel="0" collapsed="false">
      <c r="A184" s="27" t="n">
        <v>45761</v>
      </c>
      <c r="B184" s="26" t="s">
        <v>38</v>
      </c>
      <c r="C184" s="26" t="n">
        <v>353</v>
      </c>
      <c r="D184" s="26" t="n">
        <v>300</v>
      </c>
      <c r="E184" s="26" t="n">
        <v>142507</v>
      </c>
      <c r="F184" s="26" t="n">
        <v>5.3</v>
      </c>
      <c r="G184" s="26" t="n">
        <v>11035</v>
      </c>
      <c r="H184" s="26" t="n">
        <f aca="false">C184-D184</f>
        <v>53</v>
      </c>
    </row>
    <row r="185" customFormat="false" ht="15" hidden="false" customHeight="false" outlineLevel="0" collapsed="false">
      <c r="A185" s="27" t="n">
        <v>45761</v>
      </c>
      <c r="B185" s="26" t="s">
        <v>39</v>
      </c>
      <c r="C185" s="26" t="n">
        <v>520</v>
      </c>
      <c r="D185" s="26" t="n">
        <v>375</v>
      </c>
      <c r="E185" s="26" t="n">
        <v>369525</v>
      </c>
      <c r="F185" s="26" t="n">
        <v>6.54</v>
      </c>
      <c r="G185" s="26" t="n">
        <v>20733</v>
      </c>
      <c r="H185" s="26" t="n">
        <f aca="false">C185-D185</f>
        <v>145</v>
      </c>
    </row>
    <row r="186" customFormat="false" ht="15" hidden="false" customHeight="false" outlineLevel="0" collapsed="false">
      <c r="A186" s="27" t="n">
        <v>45768</v>
      </c>
      <c r="B186" s="26" t="s">
        <v>37</v>
      </c>
      <c r="C186" s="26" t="n">
        <v>961</v>
      </c>
      <c r="D186" s="26" t="n">
        <v>358</v>
      </c>
      <c r="E186" s="26" t="n">
        <v>62942</v>
      </c>
      <c r="F186" s="26" t="n">
        <v>6.8</v>
      </c>
      <c r="G186" s="26" t="n">
        <v>18693</v>
      </c>
      <c r="H186" s="26" t="n">
        <f aca="false">C186-D186</f>
        <v>603</v>
      </c>
    </row>
    <row r="187" customFormat="false" ht="15" hidden="false" customHeight="false" outlineLevel="0" collapsed="false">
      <c r="A187" s="27" t="n">
        <v>45768</v>
      </c>
      <c r="B187" s="26" t="s">
        <v>36</v>
      </c>
      <c r="C187" s="26" t="n">
        <v>1375</v>
      </c>
      <c r="D187" s="26" t="n">
        <v>330</v>
      </c>
      <c r="E187" s="26" t="n">
        <v>377382</v>
      </c>
      <c r="F187" s="26" t="n">
        <v>2.6</v>
      </c>
      <c r="G187" s="26" t="n">
        <v>7875</v>
      </c>
      <c r="H187" s="26" t="n">
        <f aca="false">C187-D187</f>
        <v>1045</v>
      </c>
    </row>
    <row r="188" customFormat="false" ht="15" hidden="false" customHeight="false" outlineLevel="0" collapsed="false">
      <c r="A188" s="27" t="n">
        <v>45768</v>
      </c>
      <c r="B188" s="26" t="s">
        <v>38</v>
      </c>
      <c r="C188" s="26" t="n">
        <v>1147</v>
      </c>
      <c r="D188" s="26" t="n">
        <v>388</v>
      </c>
      <c r="E188" s="26" t="n">
        <v>333851</v>
      </c>
      <c r="F188" s="26" t="n">
        <v>2.44</v>
      </c>
      <c r="G188" s="26" t="n">
        <v>8471</v>
      </c>
      <c r="H188" s="26" t="n">
        <f aca="false">C188-D188</f>
        <v>759</v>
      </c>
    </row>
    <row r="189" customFormat="false" ht="15" hidden="false" customHeight="false" outlineLevel="0" collapsed="false">
      <c r="A189" s="27" t="n">
        <v>45768</v>
      </c>
      <c r="B189" s="26" t="s">
        <v>39</v>
      </c>
      <c r="C189" s="26" t="n">
        <v>1707</v>
      </c>
      <c r="D189" s="26" t="n">
        <v>74</v>
      </c>
      <c r="E189" s="26" t="n">
        <v>270958</v>
      </c>
      <c r="F189" s="26" t="n">
        <v>3.09</v>
      </c>
      <c r="G189" s="26" t="n">
        <v>14090</v>
      </c>
      <c r="H189" s="26" t="n">
        <f aca="false">C189-D189</f>
        <v>1633</v>
      </c>
    </row>
    <row r="190" customFormat="false" ht="15" hidden="false" customHeight="false" outlineLevel="0" collapsed="false">
      <c r="A190" s="27" t="n">
        <v>45775</v>
      </c>
      <c r="B190" s="26" t="s">
        <v>37</v>
      </c>
      <c r="C190" s="26" t="n">
        <v>1693</v>
      </c>
      <c r="D190" s="26" t="n">
        <v>154</v>
      </c>
      <c r="E190" s="26" t="n">
        <v>445944</v>
      </c>
      <c r="F190" s="26" t="n">
        <v>5.69</v>
      </c>
      <c r="G190" s="26" t="n">
        <v>14216</v>
      </c>
      <c r="H190" s="26" t="n">
        <f aca="false">C190-D190</f>
        <v>1539</v>
      </c>
    </row>
    <row r="191" customFormat="false" ht="15" hidden="false" customHeight="false" outlineLevel="0" collapsed="false">
      <c r="A191" s="27" t="n">
        <v>45775</v>
      </c>
      <c r="B191" s="26" t="s">
        <v>36</v>
      </c>
      <c r="C191" s="26" t="n">
        <v>833</v>
      </c>
      <c r="D191" s="26" t="n">
        <v>380</v>
      </c>
      <c r="E191" s="26" t="n">
        <v>224830</v>
      </c>
      <c r="F191" s="26" t="n">
        <v>3.86</v>
      </c>
      <c r="G191" s="26" t="n">
        <v>3582</v>
      </c>
      <c r="H191" s="26" t="n">
        <f aca="false">C191-D191</f>
        <v>453</v>
      </c>
    </row>
    <row r="192" customFormat="false" ht="15" hidden="false" customHeight="false" outlineLevel="0" collapsed="false">
      <c r="A192" s="27" t="n">
        <v>45775</v>
      </c>
      <c r="B192" s="26" t="s">
        <v>38</v>
      </c>
      <c r="C192" s="26" t="n">
        <v>1222</v>
      </c>
      <c r="D192" s="26" t="n">
        <v>274</v>
      </c>
      <c r="E192" s="26" t="n">
        <v>487289</v>
      </c>
      <c r="F192" s="26" t="n">
        <v>3.16</v>
      </c>
      <c r="G192" s="26" t="n">
        <v>32500</v>
      </c>
      <c r="H192" s="26" t="n">
        <f aca="false">C192-D192</f>
        <v>948</v>
      </c>
    </row>
    <row r="193" customFormat="false" ht="15" hidden="false" customHeight="false" outlineLevel="0" collapsed="false">
      <c r="A193" s="27" t="n">
        <v>45775</v>
      </c>
      <c r="B193" s="26" t="s">
        <v>39</v>
      </c>
      <c r="C193" s="26" t="n">
        <v>777</v>
      </c>
      <c r="D193" s="26" t="n">
        <v>140</v>
      </c>
      <c r="E193" s="26" t="n">
        <v>11435</v>
      </c>
      <c r="F193" s="26" t="n">
        <v>1.6</v>
      </c>
      <c r="G193" s="26" t="n">
        <v>6832</v>
      </c>
      <c r="H193" s="26" t="n">
        <f aca="false">C193-D193</f>
        <v>637</v>
      </c>
    </row>
    <row r="194" customFormat="false" ht="15" hidden="false" customHeight="false" outlineLevel="0" collapsed="false">
      <c r="A194" s="27" t="n">
        <v>45782</v>
      </c>
      <c r="B194" s="26" t="s">
        <v>37</v>
      </c>
      <c r="C194" s="26" t="n">
        <v>1957</v>
      </c>
      <c r="D194" s="26" t="n">
        <v>76</v>
      </c>
      <c r="E194" s="26" t="n">
        <v>447902</v>
      </c>
      <c r="F194" s="26" t="n">
        <v>6.09</v>
      </c>
      <c r="G194" s="26" t="n">
        <v>33381</v>
      </c>
      <c r="H194" s="26" t="n">
        <f aca="false">C194-D194</f>
        <v>1881</v>
      </c>
    </row>
    <row r="195" customFormat="false" ht="15" hidden="false" customHeight="false" outlineLevel="0" collapsed="false">
      <c r="A195" s="27" t="n">
        <v>45782</v>
      </c>
      <c r="B195" s="26" t="s">
        <v>36</v>
      </c>
      <c r="C195" s="26" t="n">
        <v>405</v>
      </c>
      <c r="D195" s="26" t="n">
        <v>66</v>
      </c>
      <c r="E195" s="26" t="n">
        <v>418696</v>
      </c>
      <c r="F195" s="26" t="n">
        <v>5.59</v>
      </c>
      <c r="G195" s="26" t="n">
        <v>48419</v>
      </c>
      <c r="H195" s="26" t="n">
        <f aca="false">C195-D195</f>
        <v>339</v>
      </c>
    </row>
    <row r="196" customFormat="false" ht="15" hidden="false" customHeight="false" outlineLevel="0" collapsed="false">
      <c r="A196" s="27" t="n">
        <v>45782</v>
      </c>
      <c r="B196" s="26" t="s">
        <v>38</v>
      </c>
      <c r="C196" s="26" t="n">
        <v>1581</v>
      </c>
      <c r="D196" s="26" t="n">
        <v>71</v>
      </c>
      <c r="E196" s="26" t="n">
        <v>484364</v>
      </c>
      <c r="F196" s="26" t="n">
        <v>3.55</v>
      </c>
      <c r="G196" s="26" t="n">
        <v>16149</v>
      </c>
      <c r="H196" s="26" t="n">
        <f aca="false">C196-D196</f>
        <v>1510</v>
      </c>
    </row>
    <row r="197" customFormat="false" ht="15" hidden="false" customHeight="false" outlineLevel="0" collapsed="false">
      <c r="A197" s="27" t="n">
        <v>45782</v>
      </c>
      <c r="B197" s="26" t="s">
        <v>39</v>
      </c>
      <c r="C197" s="26" t="n">
        <v>1035</v>
      </c>
      <c r="D197" s="26" t="n">
        <v>171</v>
      </c>
      <c r="E197" s="26" t="n">
        <v>148477</v>
      </c>
      <c r="F197" s="26" t="n">
        <v>5.21</v>
      </c>
      <c r="G197" s="26" t="n">
        <v>7541</v>
      </c>
      <c r="H197" s="26" t="n">
        <f aca="false">C197-D197</f>
        <v>864</v>
      </c>
    </row>
    <row r="198" customFormat="false" ht="15" hidden="false" customHeight="false" outlineLevel="0" collapsed="false">
      <c r="A198" s="27" t="n">
        <v>45789</v>
      </c>
      <c r="B198" s="26" t="s">
        <v>37</v>
      </c>
      <c r="C198" s="26" t="n">
        <v>1765</v>
      </c>
      <c r="D198" s="26" t="n">
        <v>109</v>
      </c>
      <c r="E198" s="26" t="n">
        <v>468301</v>
      </c>
      <c r="F198" s="26" t="n">
        <v>1.82</v>
      </c>
      <c r="G198" s="26" t="n">
        <v>20042</v>
      </c>
      <c r="H198" s="26" t="n">
        <f aca="false">C198-D198</f>
        <v>1656</v>
      </c>
    </row>
    <row r="199" customFormat="false" ht="15" hidden="false" customHeight="false" outlineLevel="0" collapsed="false">
      <c r="A199" s="27" t="n">
        <v>45789</v>
      </c>
      <c r="B199" s="26" t="s">
        <v>36</v>
      </c>
      <c r="C199" s="26" t="n">
        <v>837</v>
      </c>
      <c r="D199" s="26" t="n">
        <v>430</v>
      </c>
      <c r="E199" s="26" t="n">
        <v>364820</v>
      </c>
      <c r="F199" s="26" t="n">
        <v>4</v>
      </c>
      <c r="G199" s="26" t="n">
        <v>49400</v>
      </c>
      <c r="H199" s="26" t="n">
        <f aca="false">C199-D199</f>
        <v>407</v>
      </c>
    </row>
    <row r="200" customFormat="false" ht="15" hidden="false" customHeight="false" outlineLevel="0" collapsed="false">
      <c r="A200" s="27" t="n">
        <v>45789</v>
      </c>
      <c r="B200" s="26" t="s">
        <v>38</v>
      </c>
      <c r="C200" s="26" t="n">
        <v>337</v>
      </c>
      <c r="D200" s="26" t="n">
        <v>68</v>
      </c>
      <c r="E200" s="26" t="n">
        <v>456298</v>
      </c>
      <c r="F200" s="26" t="n">
        <v>7.57</v>
      </c>
      <c r="G200" s="26" t="n">
        <v>4007</v>
      </c>
      <c r="H200" s="26" t="n">
        <f aca="false">C200-D200</f>
        <v>269</v>
      </c>
    </row>
    <row r="201" customFormat="false" ht="15" hidden="false" customHeight="false" outlineLevel="0" collapsed="false">
      <c r="A201" s="27" t="n">
        <v>45789</v>
      </c>
      <c r="B201" s="26" t="s">
        <v>39</v>
      </c>
      <c r="C201" s="26" t="n">
        <v>119</v>
      </c>
      <c r="D201" s="26" t="n">
        <v>456</v>
      </c>
      <c r="E201" s="26" t="n">
        <v>82558</v>
      </c>
      <c r="F201" s="26" t="n">
        <v>6.81</v>
      </c>
      <c r="G201" s="26" t="n">
        <v>12174</v>
      </c>
      <c r="H201" s="26" t="n">
        <f aca="false">C201-D201</f>
        <v>-337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12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13" t="s">
        <v>4</v>
      </c>
      <c r="B1" s="13" t="s">
        <v>411</v>
      </c>
      <c r="C1" s="13" t="s">
        <v>412</v>
      </c>
      <c r="D1" s="13" t="s">
        <v>413</v>
      </c>
      <c r="E1" s="13" t="s">
        <v>414</v>
      </c>
      <c r="F1" s="13" t="s">
        <v>415</v>
      </c>
    </row>
    <row r="2" customFormat="false" ht="15" hidden="false" customHeight="false" outlineLevel="0" collapsed="false">
      <c r="A2" s="26" t="s">
        <v>100</v>
      </c>
      <c r="B2" s="27" t="n">
        <v>45453</v>
      </c>
      <c r="C2" s="27" t="n">
        <v>45478</v>
      </c>
      <c r="D2" s="26" t="s">
        <v>416</v>
      </c>
      <c r="E2" s="26" t="n">
        <v>180000</v>
      </c>
      <c r="F2" s="26" t="s">
        <v>417</v>
      </c>
    </row>
    <row r="3" customFormat="false" ht="15" hidden="false" customHeight="false" outlineLevel="0" collapsed="false">
      <c r="A3" s="26" t="s">
        <v>97</v>
      </c>
      <c r="B3" s="27" t="n">
        <v>45505</v>
      </c>
      <c r="C3" s="27" t="n">
        <v>45535</v>
      </c>
      <c r="D3" s="26" t="s">
        <v>418</v>
      </c>
      <c r="E3" s="26" t="n">
        <v>160000</v>
      </c>
      <c r="F3" s="26" t="s">
        <v>419</v>
      </c>
    </row>
    <row r="4" customFormat="false" ht="15" hidden="false" customHeight="false" outlineLevel="0" collapsed="false">
      <c r="A4" s="26" t="s">
        <v>105</v>
      </c>
      <c r="B4" s="27" t="n">
        <v>45570</v>
      </c>
      <c r="C4" s="27" t="n">
        <v>45601</v>
      </c>
      <c r="D4" s="26" t="s">
        <v>420</v>
      </c>
      <c r="E4" s="26" t="n">
        <v>220000</v>
      </c>
      <c r="F4" s="26" t="s">
        <v>421</v>
      </c>
    </row>
    <row r="5" customFormat="false" ht="15" hidden="false" customHeight="false" outlineLevel="0" collapsed="false">
      <c r="A5" s="26" t="s">
        <v>113</v>
      </c>
      <c r="B5" s="27" t="n">
        <v>45667</v>
      </c>
      <c r="C5" s="27" t="n">
        <v>45698</v>
      </c>
      <c r="D5" s="26" t="s">
        <v>422</v>
      </c>
      <c r="E5" s="26" t="n">
        <v>200000</v>
      </c>
      <c r="F5" s="26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5" min="5" style="0" width="13"/>
    <col collapsed="false" customWidth="true" hidden="false" outlineLevel="0" max="6" min="6" style="0" width="8"/>
  </cols>
  <sheetData>
    <row r="1" customFormat="false" ht="31.5" hidden="false" customHeight="true" outlineLevel="0" collapsed="false">
      <c r="A1" s="13" t="s">
        <v>85</v>
      </c>
      <c r="B1" s="13" t="s">
        <v>2</v>
      </c>
      <c r="C1" s="13" t="s">
        <v>56</v>
      </c>
      <c r="D1" s="13" t="s">
        <v>4</v>
      </c>
      <c r="E1" s="13" t="s">
        <v>94</v>
      </c>
      <c r="F1" s="13" t="s">
        <v>31</v>
      </c>
    </row>
    <row r="2" customFormat="false" ht="15" hidden="false" customHeight="false" outlineLevel="0" collapsed="false">
      <c r="A2" s="26" t="s">
        <v>95</v>
      </c>
      <c r="B2" s="26" t="s">
        <v>38</v>
      </c>
      <c r="C2" s="26" t="s">
        <v>62</v>
      </c>
      <c r="D2" s="26" t="str">
        <f aca="false">INDEX(Data_Posts!$N$2:$N$301,MATCH(A2,Data_Posts!$A$2:$A$301,0))</f>
        <v>FashionUpgrade</v>
      </c>
      <c r="E2" s="28" t="n">
        <f aca="false">INDEX(Data_Posts!$P$2:$P$301,MATCH(A2,Data_Posts!$A$2:$A$301,0))</f>
        <v>0.0907597535934292</v>
      </c>
      <c r="F2" s="26" t="n">
        <f aca="false">INDEX(Data_Posts!$K$2:$K$301,MATCH(A2,Data_Posts!$A$2:$A$301,0))</f>
        <v>15</v>
      </c>
    </row>
    <row r="3" customFormat="false" ht="15" hidden="false" customHeight="false" outlineLevel="0" collapsed="false">
      <c r="A3" s="26" t="s">
        <v>98</v>
      </c>
      <c r="B3" s="26" t="s">
        <v>38</v>
      </c>
      <c r="C3" s="26" t="s">
        <v>61</v>
      </c>
      <c r="D3" s="26" t="str">
        <f aca="false">INDEX(Data_Posts!$N$2:$N$301,MATCH(A3,Data_Posts!$A$2:$A$301,0))</f>
        <v>EndOfSeasonSale</v>
      </c>
      <c r="E3" s="28" t="n">
        <f aca="false">INDEX(Data_Posts!$P$2:$P$301,MATCH(A3,Data_Posts!$A$2:$A$301,0))</f>
        <v>0.0760976813024174</v>
      </c>
      <c r="F3" s="26" t="n">
        <f aca="false">INDEX(Data_Posts!$K$2:$K$301,MATCH(A3,Data_Posts!$A$2:$A$301,0))</f>
        <v>117</v>
      </c>
    </row>
    <row r="4" customFormat="false" ht="15" hidden="false" customHeight="false" outlineLevel="0" collapsed="false">
      <c r="A4" s="26" t="s">
        <v>101</v>
      </c>
      <c r="B4" s="26" t="s">
        <v>39</v>
      </c>
      <c r="C4" s="26" t="s">
        <v>61</v>
      </c>
      <c r="D4" s="26" t="str">
        <f aca="false">INDEX(Data_Posts!$N$2:$N$301,MATCH(A4,Data_Posts!$A$2:$A$301,0))</f>
        <v>FashionUpgrade</v>
      </c>
      <c r="E4" s="28" t="n">
        <f aca="false">INDEX(Data_Posts!$P$2:$P$301,MATCH(A4,Data_Posts!$A$2:$A$301,0))</f>
        <v>0.0555314942095848</v>
      </c>
      <c r="F4" s="26" t="n">
        <f aca="false">INDEX(Data_Posts!$K$2:$K$301,MATCH(A4,Data_Posts!$A$2:$A$301,0))</f>
        <v>204</v>
      </c>
    </row>
    <row r="5" customFormat="false" ht="15" hidden="false" customHeight="false" outlineLevel="0" collapsed="false">
      <c r="A5" s="26" t="s">
        <v>101</v>
      </c>
      <c r="B5" s="26" t="s">
        <v>39</v>
      </c>
      <c r="C5" s="26" t="s">
        <v>62</v>
      </c>
      <c r="D5" s="26" t="str">
        <f aca="false">INDEX(Data_Posts!$N$2:$N$301,MATCH(A5,Data_Posts!$A$2:$A$301,0))</f>
        <v>FashionUpgrade</v>
      </c>
      <c r="E5" s="28" t="n">
        <f aca="false">INDEX(Data_Posts!$P$2:$P$301,MATCH(A5,Data_Posts!$A$2:$A$301,0))</f>
        <v>0.0555314942095848</v>
      </c>
      <c r="F5" s="26" t="n">
        <f aca="false">INDEX(Data_Posts!$K$2:$K$301,MATCH(A5,Data_Posts!$A$2:$A$301,0))</f>
        <v>204</v>
      </c>
    </row>
    <row r="6" customFormat="false" ht="15" hidden="false" customHeight="false" outlineLevel="0" collapsed="false">
      <c r="A6" s="26" t="s">
        <v>102</v>
      </c>
      <c r="B6" s="26" t="s">
        <v>37</v>
      </c>
      <c r="C6" s="26" t="s">
        <v>62</v>
      </c>
      <c r="D6" s="26" t="str">
        <f aca="false">INDEX(Data_Posts!$N$2:$N$301,MATCH(A6,Data_Posts!$A$2:$A$301,0))</f>
        <v>FashionUpgrade</v>
      </c>
      <c r="E6" s="28" t="n">
        <f aca="false">INDEX(Data_Posts!$P$2:$P$301,MATCH(A6,Data_Posts!$A$2:$A$301,0))</f>
        <v>0.151050332778702</v>
      </c>
      <c r="F6" s="26" t="n">
        <f aca="false">INDEX(Data_Posts!$K$2:$K$301,MATCH(A6,Data_Posts!$A$2:$A$301,0))</f>
        <v>128</v>
      </c>
    </row>
    <row r="7" customFormat="false" ht="15" hidden="false" customHeight="false" outlineLevel="0" collapsed="false">
      <c r="A7" s="26" t="s">
        <v>104</v>
      </c>
      <c r="B7" s="26" t="s">
        <v>39</v>
      </c>
      <c r="C7" s="26" t="s">
        <v>64</v>
      </c>
      <c r="D7" s="26" t="str">
        <f aca="false">INDEX(Data_Posts!$N$2:$N$301,MATCH(A7,Data_Posts!$A$2:$A$301,0))</f>
        <v>MyntraFestiveEdit</v>
      </c>
      <c r="E7" s="28" t="n">
        <f aca="false">INDEX(Data_Posts!$P$2:$P$301,MATCH(A7,Data_Posts!$A$2:$A$301,0))</f>
        <v>0.065617093055946</v>
      </c>
      <c r="F7" s="26" t="n">
        <f aca="false">INDEX(Data_Posts!$K$2:$K$301,MATCH(A7,Data_Posts!$A$2:$A$301,0))</f>
        <v>224</v>
      </c>
    </row>
    <row r="8" customFormat="false" ht="15" hidden="false" customHeight="false" outlineLevel="0" collapsed="false">
      <c r="A8" s="26" t="s">
        <v>104</v>
      </c>
      <c r="B8" s="26" t="s">
        <v>39</v>
      </c>
      <c r="C8" s="26" t="s">
        <v>61</v>
      </c>
      <c r="D8" s="26" t="str">
        <f aca="false">INDEX(Data_Posts!$N$2:$N$301,MATCH(A8,Data_Posts!$A$2:$A$301,0))</f>
        <v>MyntraFestiveEdit</v>
      </c>
      <c r="E8" s="28" t="n">
        <f aca="false">INDEX(Data_Posts!$P$2:$P$301,MATCH(A8,Data_Posts!$A$2:$A$301,0))</f>
        <v>0.065617093055946</v>
      </c>
      <c r="F8" s="26" t="n">
        <f aca="false">INDEX(Data_Posts!$K$2:$K$301,MATCH(A8,Data_Posts!$A$2:$A$301,0))</f>
        <v>224</v>
      </c>
    </row>
    <row r="9" customFormat="false" ht="15" hidden="false" customHeight="false" outlineLevel="0" collapsed="false">
      <c r="A9" s="26" t="s">
        <v>106</v>
      </c>
      <c r="B9" s="26" t="s">
        <v>36</v>
      </c>
      <c r="C9" s="26" t="s">
        <v>63</v>
      </c>
      <c r="D9" s="26" t="str">
        <f aca="false">INDEX(Data_Posts!$N$2:$N$301,MATCH(A9,Data_Posts!$A$2:$A$301,0))</f>
        <v>EndOfSeasonSale</v>
      </c>
      <c r="E9" s="28" t="n">
        <f aca="false">INDEX(Data_Posts!$P$2:$P$301,MATCH(A9,Data_Posts!$A$2:$A$301,0))</f>
        <v>0.179541595925297</v>
      </c>
      <c r="F9" s="26" t="n">
        <f aca="false">INDEX(Data_Posts!$K$2:$K$301,MATCH(A9,Data_Posts!$A$2:$A$301,0))</f>
        <v>256</v>
      </c>
    </row>
    <row r="10" customFormat="false" ht="15" hidden="false" customHeight="false" outlineLevel="0" collapsed="false">
      <c r="A10" s="26" t="s">
        <v>108</v>
      </c>
      <c r="B10" s="26" t="s">
        <v>38</v>
      </c>
      <c r="C10" s="26" t="s">
        <v>63</v>
      </c>
      <c r="D10" s="26" t="str">
        <f aca="false">INDEX(Data_Posts!$N$2:$N$301,MATCH(A10,Data_Posts!$A$2:$A$301,0))</f>
        <v>MyntraFestiveEdit</v>
      </c>
      <c r="E10" s="28" t="n">
        <f aca="false">INDEX(Data_Posts!$P$2:$P$301,MATCH(A10,Data_Posts!$A$2:$A$301,0))</f>
        <v>0.0702720207253886</v>
      </c>
      <c r="F10" s="26" t="n">
        <f aca="false">INDEX(Data_Posts!$K$2:$K$301,MATCH(A10,Data_Posts!$A$2:$A$301,0))</f>
        <v>235</v>
      </c>
    </row>
    <row r="11" customFormat="false" ht="15" hidden="false" customHeight="false" outlineLevel="0" collapsed="false">
      <c r="A11" s="26" t="s">
        <v>109</v>
      </c>
      <c r="B11" s="26" t="s">
        <v>39</v>
      </c>
      <c r="C11" s="26" t="s">
        <v>61</v>
      </c>
      <c r="D11" s="26" t="str">
        <f aca="false">INDEX(Data_Posts!$N$2:$N$301,MATCH(A11,Data_Posts!$A$2:$A$301,0))</f>
        <v>MyntraFestiveEdit</v>
      </c>
      <c r="E11" s="28" t="n">
        <f aca="false">INDEX(Data_Posts!$P$2:$P$301,MATCH(A11,Data_Posts!$A$2:$A$301,0))</f>
        <v>0.103403595640806</v>
      </c>
      <c r="F11" s="26" t="n">
        <f aca="false">INDEX(Data_Posts!$K$2:$K$301,MATCH(A11,Data_Posts!$A$2:$A$301,0))</f>
        <v>39</v>
      </c>
    </row>
    <row r="12" customFormat="false" ht="15" hidden="false" customHeight="false" outlineLevel="0" collapsed="false">
      <c r="A12" s="26" t="s">
        <v>109</v>
      </c>
      <c r="B12" s="26" t="s">
        <v>39</v>
      </c>
      <c r="C12" s="26" t="s">
        <v>62</v>
      </c>
      <c r="D12" s="26" t="str">
        <f aca="false">INDEX(Data_Posts!$N$2:$N$301,MATCH(A12,Data_Posts!$A$2:$A$301,0))</f>
        <v>MyntraFestiveEdit</v>
      </c>
      <c r="E12" s="28" t="n">
        <f aca="false">INDEX(Data_Posts!$P$2:$P$301,MATCH(A12,Data_Posts!$A$2:$A$301,0))</f>
        <v>0.103403595640806</v>
      </c>
      <c r="F12" s="26" t="n">
        <f aca="false">INDEX(Data_Posts!$K$2:$K$301,MATCH(A12,Data_Posts!$A$2:$A$301,0))</f>
        <v>39</v>
      </c>
    </row>
    <row r="13" customFormat="false" ht="15" hidden="false" customHeight="false" outlineLevel="0" collapsed="false">
      <c r="A13" s="26" t="s">
        <v>111</v>
      </c>
      <c r="B13" s="26" t="s">
        <v>36</v>
      </c>
      <c r="C13" s="26" t="s">
        <v>61</v>
      </c>
      <c r="D13" s="26" t="str">
        <f aca="false">INDEX(Data_Posts!$N$2:$N$301,MATCH(A13,Data_Posts!$A$2:$A$301,0))</f>
        <v>MyntraFestiveEdit</v>
      </c>
      <c r="E13" s="28" t="n">
        <f aca="false">INDEX(Data_Posts!$P$2:$P$301,MATCH(A13,Data_Posts!$A$2:$A$301,0))</f>
        <v>0.0880197322057787</v>
      </c>
      <c r="F13" s="26" t="n">
        <f aca="false">INDEX(Data_Posts!$K$2:$K$301,MATCH(A13,Data_Posts!$A$2:$A$301,0))</f>
        <v>131</v>
      </c>
    </row>
    <row r="14" customFormat="false" ht="15" hidden="false" customHeight="false" outlineLevel="0" collapsed="false">
      <c r="A14" s="26" t="s">
        <v>111</v>
      </c>
      <c r="B14" s="26" t="s">
        <v>36</v>
      </c>
      <c r="C14" s="26" t="s">
        <v>62</v>
      </c>
      <c r="D14" s="26" t="str">
        <f aca="false">INDEX(Data_Posts!$N$2:$N$301,MATCH(A14,Data_Posts!$A$2:$A$301,0))</f>
        <v>MyntraFestiveEdit</v>
      </c>
      <c r="E14" s="28" t="n">
        <f aca="false">INDEX(Data_Posts!$P$2:$P$301,MATCH(A14,Data_Posts!$A$2:$A$301,0))</f>
        <v>0.0880197322057787</v>
      </c>
      <c r="F14" s="26" t="n">
        <f aca="false">INDEX(Data_Posts!$K$2:$K$301,MATCH(A14,Data_Posts!$A$2:$A$301,0))</f>
        <v>131</v>
      </c>
    </row>
    <row r="15" customFormat="false" ht="15" hidden="false" customHeight="false" outlineLevel="0" collapsed="false">
      <c r="A15" s="26" t="s">
        <v>112</v>
      </c>
      <c r="B15" s="26" t="s">
        <v>36</v>
      </c>
      <c r="C15" s="26" t="s">
        <v>63</v>
      </c>
      <c r="D15" s="26" t="str">
        <f aca="false">INDEX(Data_Posts!$N$2:$N$301,MATCH(A15,Data_Posts!$A$2:$A$301,0))</f>
        <v>StyleRevolution</v>
      </c>
      <c r="E15" s="28" t="n">
        <f aca="false">INDEX(Data_Posts!$P$2:$P$301,MATCH(A15,Data_Posts!$A$2:$A$301,0))</f>
        <v>0.0719863517205986</v>
      </c>
      <c r="F15" s="26" t="n">
        <f aca="false">INDEX(Data_Posts!$K$2:$K$301,MATCH(A15,Data_Posts!$A$2:$A$301,0))</f>
        <v>167</v>
      </c>
    </row>
    <row r="16" customFormat="false" ht="15" hidden="false" customHeight="false" outlineLevel="0" collapsed="false">
      <c r="A16" s="26" t="s">
        <v>114</v>
      </c>
      <c r="B16" s="26" t="s">
        <v>37</v>
      </c>
      <c r="C16" s="26" t="s">
        <v>64</v>
      </c>
      <c r="D16" s="26" t="str">
        <f aca="false">INDEX(Data_Posts!$N$2:$N$301,MATCH(A16,Data_Posts!$A$2:$A$301,0))</f>
        <v>FashionUpgrade</v>
      </c>
      <c r="E16" s="28" t="n">
        <f aca="false">INDEX(Data_Posts!$P$2:$P$301,MATCH(A16,Data_Posts!$A$2:$A$301,0))</f>
        <v>0.115712691326531</v>
      </c>
      <c r="F16" s="26" t="n">
        <f aca="false">INDEX(Data_Posts!$K$2:$K$301,MATCH(A16,Data_Posts!$A$2:$A$301,0))</f>
        <v>65</v>
      </c>
    </row>
    <row r="17" customFormat="false" ht="15" hidden="false" customHeight="false" outlineLevel="0" collapsed="false">
      <c r="A17" s="26" t="s">
        <v>115</v>
      </c>
      <c r="B17" s="26" t="s">
        <v>36</v>
      </c>
      <c r="C17" s="26" t="s">
        <v>64</v>
      </c>
      <c r="D17" s="26" t="str">
        <f aca="false">INDEX(Data_Posts!$N$2:$N$301,MATCH(A17,Data_Posts!$A$2:$A$301,0))</f>
        <v>MyntraFestiveEdit</v>
      </c>
      <c r="E17" s="28" t="n">
        <f aca="false">INDEX(Data_Posts!$P$2:$P$301,MATCH(A17,Data_Posts!$A$2:$A$301,0))</f>
        <v>0.128854059609455</v>
      </c>
      <c r="F17" s="26" t="n">
        <f aca="false">INDEX(Data_Posts!$K$2:$K$301,MATCH(A17,Data_Posts!$A$2:$A$301,0))</f>
        <v>213</v>
      </c>
    </row>
    <row r="18" customFormat="false" ht="15" hidden="false" customHeight="false" outlineLevel="0" collapsed="false">
      <c r="A18" s="26" t="s">
        <v>115</v>
      </c>
      <c r="B18" s="26" t="s">
        <v>36</v>
      </c>
      <c r="C18" s="26" t="s">
        <v>62</v>
      </c>
      <c r="D18" s="26" t="str">
        <f aca="false">INDEX(Data_Posts!$N$2:$N$301,MATCH(A18,Data_Posts!$A$2:$A$301,0))</f>
        <v>MyntraFestiveEdit</v>
      </c>
      <c r="E18" s="28" t="n">
        <f aca="false">INDEX(Data_Posts!$P$2:$P$301,MATCH(A18,Data_Posts!$A$2:$A$301,0))</f>
        <v>0.128854059609455</v>
      </c>
      <c r="F18" s="26" t="n">
        <f aca="false">INDEX(Data_Posts!$K$2:$K$301,MATCH(A18,Data_Posts!$A$2:$A$301,0))</f>
        <v>213</v>
      </c>
    </row>
    <row r="19" customFormat="false" ht="15" hidden="false" customHeight="false" outlineLevel="0" collapsed="false">
      <c r="A19" s="26" t="s">
        <v>116</v>
      </c>
      <c r="B19" s="26" t="s">
        <v>39</v>
      </c>
      <c r="C19" s="26" t="s">
        <v>61</v>
      </c>
      <c r="D19" s="26" t="str">
        <f aca="false">INDEX(Data_Posts!$N$2:$N$301,MATCH(A19,Data_Posts!$A$2:$A$301,0))</f>
        <v>StyleRevolution</v>
      </c>
      <c r="E19" s="28" t="n">
        <f aca="false">INDEX(Data_Posts!$P$2:$P$301,MATCH(A19,Data_Posts!$A$2:$A$301,0))</f>
        <v>0.0758685783630725</v>
      </c>
      <c r="F19" s="26" t="n">
        <f aca="false">INDEX(Data_Posts!$K$2:$K$301,MATCH(A19,Data_Posts!$A$2:$A$301,0))</f>
        <v>114</v>
      </c>
    </row>
    <row r="20" customFormat="false" ht="15" hidden="false" customHeight="false" outlineLevel="0" collapsed="false">
      <c r="A20" s="26" t="s">
        <v>117</v>
      </c>
      <c r="B20" s="26" t="s">
        <v>36</v>
      </c>
      <c r="C20" s="26" t="s">
        <v>62</v>
      </c>
      <c r="D20" s="26" t="str">
        <f aca="false">INDEX(Data_Posts!$N$2:$N$301,MATCH(A20,Data_Posts!$A$2:$A$301,0))</f>
        <v>MyntraFestiveEdit</v>
      </c>
      <c r="E20" s="28" t="n">
        <f aca="false">INDEX(Data_Posts!$P$2:$P$301,MATCH(A20,Data_Posts!$A$2:$A$301,0))</f>
        <v>0.145214521452145</v>
      </c>
      <c r="F20" s="26" t="n">
        <f aca="false">INDEX(Data_Posts!$K$2:$K$301,MATCH(A20,Data_Posts!$A$2:$A$301,0))</f>
        <v>265</v>
      </c>
    </row>
    <row r="21" customFormat="false" ht="15" hidden="false" customHeight="false" outlineLevel="0" collapsed="false">
      <c r="A21" s="26" t="s">
        <v>117</v>
      </c>
      <c r="B21" s="26" t="s">
        <v>36</v>
      </c>
      <c r="C21" s="26" t="s">
        <v>61</v>
      </c>
      <c r="D21" s="26" t="str">
        <f aca="false">INDEX(Data_Posts!$N$2:$N$301,MATCH(A21,Data_Posts!$A$2:$A$301,0))</f>
        <v>MyntraFestiveEdit</v>
      </c>
      <c r="E21" s="28" t="n">
        <f aca="false">INDEX(Data_Posts!$P$2:$P$301,MATCH(A21,Data_Posts!$A$2:$A$301,0))</f>
        <v>0.145214521452145</v>
      </c>
      <c r="F21" s="26" t="n">
        <f aca="false">INDEX(Data_Posts!$K$2:$K$301,MATCH(A21,Data_Posts!$A$2:$A$301,0))</f>
        <v>265</v>
      </c>
    </row>
    <row r="22" customFormat="false" ht="15" hidden="false" customHeight="false" outlineLevel="0" collapsed="false">
      <c r="A22" s="26" t="s">
        <v>118</v>
      </c>
      <c r="B22" s="26" t="s">
        <v>36</v>
      </c>
      <c r="C22" s="26" t="s">
        <v>61</v>
      </c>
      <c r="D22" s="26" t="str">
        <f aca="false">INDEX(Data_Posts!$N$2:$N$301,MATCH(A22,Data_Posts!$A$2:$A$301,0))</f>
        <v>FashionUpgrade</v>
      </c>
      <c r="E22" s="28" t="n">
        <f aca="false">INDEX(Data_Posts!$P$2:$P$301,MATCH(A22,Data_Posts!$A$2:$A$301,0))</f>
        <v>0.0594135802469136</v>
      </c>
      <c r="F22" s="26" t="n">
        <f aca="false">INDEX(Data_Posts!$K$2:$K$301,MATCH(A22,Data_Posts!$A$2:$A$301,0))</f>
        <v>20</v>
      </c>
    </row>
    <row r="23" customFormat="false" ht="15" hidden="false" customHeight="false" outlineLevel="0" collapsed="false">
      <c r="A23" s="26" t="s">
        <v>118</v>
      </c>
      <c r="B23" s="26" t="s">
        <v>36</v>
      </c>
      <c r="C23" s="26" t="s">
        <v>60</v>
      </c>
      <c r="D23" s="26" t="str">
        <f aca="false">INDEX(Data_Posts!$N$2:$N$301,MATCH(A23,Data_Posts!$A$2:$A$301,0))</f>
        <v>FashionUpgrade</v>
      </c>
      <c r="E23" s="28" t="n">
        <f aca="false">INDEX(Data_Posts!$P$2:$P$301,MATCH(A23,Data_Posts!$A$2:$A$301,0))</f>
        <v>0.0594135802469136</v>
      </c>
      <c r="F23" s="26" t="n">
        <f aca="false">INDEX(Data_Posts!$K$2:$K$301,MATCH(A23,Data_Posts!$A$2:$A$301,0))</f>
        <v>20</v>
      </c>
    </row>
    <row r="24" customFormat="false" ht="15" hidden="false" customHeight="false" outlineLevel="0" collapsed="false">
      <c r="A24" s="26" t="s">
        <v>120</v>
      </c>
      <c r="B24" s="26" t="s">
        <v>36</v>
      </c>
      <c r="C24" s="26" t="s">
        <v>62</v>
      </c>
      <c r="D24" s="26" t="str">
        <f aca="false">INDEX(Data_Posts!$N$2:$N$301,MATCH(A24,Data_Posts!$A$2:$A$301,0))</f>
        <v>MyntraFestiveEdit</v>
      </c>
      <c r="E24" s="28" t="n">
        <f aca="false">INDEX(Data_Posts!$P$2:$P$301,MATCH(A24,Data_Posts!$A$2:$A$301,0))</f>
        <v>0.0758437137891078</v>
      </c>
      <c r="F24" s="26" t="n">
        <f aca="false">INDEX(Data_Posts!$K$2:$K$301,MATCH(A24,Data_Posts!$A$2:$A$301,0))</f>
        <v>87</v>
      </c>
    </row>
    <row r="25" customFormat="false" ht="15" hidden="false" customHeight="false" outlineLevel="0" collapsed="false">
      <c r="A25" s="26" t="s">
        <v>120</v>
      </c>
      <c r="B25" s="26" t="s">
        <v>36</v>
      </c>
      <c r="C25" s="26" t="s">
        <v>60</v>
      </c>
      <c r="D25" s="26" t="str">
        <f aca="false">INDEX(Data_Posts!$N$2:$N$301,MATCH(A25,Data_Posts!$A$2:$A$301,0))</f>
        <v>MyntraFestiveEdit</v>
      </c>
      <c r="E25" s="28" t="n">
        <f aca="false">INDEX(Data_Posts!$P$2:$P$301,MATCH(A25,Data_Posts!$A$2:$A$301,0))</f>
        <v>0.0758437137891078</v>
      </c>
      <c r="F25" s="26" t="n">
        <f aca="false">INDEX(Data_Posts!$K$2:$K$301,MATCH(A25,Data_Posts!$A$2:$A$301,0))</f>
        <v>87</v>
      </c>
    </row>
    <row r="26" customFormat="false" ht="15" hidden="false" customHeight="false" outlineLevel="0" collapsed="false">
      <c r="A26" s="26" t="s">
        <v>121</v>
      </c>
      <c r="B26" s="26" t="s">
        <v>36</v>
      </c>
      <c r="C26" s="26" t="s">
        <v>60</v>
      </c>
      <c r="D26" s="26" t="str">
        <f aca="false">INDEX(Data_Posts!$N$2:$N$301,MATCH(A26,Data_Posts!$A$2:$A$301,0))</f>
        <v>MyntraFestiveEdit</v>
      </c>
      <c r="E26" s="28" t="n">
        <f aca="false">INDEX(Data_Posts!$P$2:$P$301,MATCH(A26,Data_Posts!$A$2:$A$301,0))</f>
        <v>0.0942355325377167</v>
      </c>
      <c r="F26" s="26" t="n">
        <f aca="false">INDEX(Data_Posts!$K$2:$K$301,MATCH(A26,Data_Posts!$A$2:$A$301,0))</f>
        <v>159</v>
      </c>
    </row>
    <row r="27" customFormat="false" ht="15" hidden="false" customHeight="false" outlineLevel="0" collapsed="false">
      <c r="A27" s="26" t="s">
        <v>122</v>
      </c>
      <c r="B27" s="26" t="s">
        <v>37</v>
      </c>
      <c r="C27" s="26" t="s">
        <v>64</v>
      </c>
      <c r="D27" s="26" t="str">
        <f aca="false">INDEX(Data_Posts!$N$2:$N$301,MATCH(A27,Data_Posts!$A$2:$A$301,0))</f>
        <v>EndOfSeasonSale</v>
      </c>
      <c r="E27" s="28" t="n">
        <f aca="false">INDEX(Data_Posts!$P$2:$P$301,MATCH(A27,Data_Posts!$A$2:$A$301,0))</f>
        <v>0.102972222222222</v>
      </c>
      <c r="F27" s="26" t="n">
        <f aca="false">INDEX(Data_Posts!$K$2:$K$301,MATCH(A27,Data_Posts!$A$2:$A$301,0))</f>
        <v>19</v>
      </c>
    </row>
    <row r="28" customFormat="false" ht="15" hidden="false" customHeight="false" outlineLevel="0" collapsed="false">
      <c r="A28" s="26" t="s">
        <v>123</v>
      </c>
      <c r="B28" s="26" t="s">
        <v>37</v>
      </c>
      <c r="C28" s="26" t="s">
        <v>62</v>
      </c>
      <c r="D28" s="26" t="str">
        <f aca="false">INDEX(Data_Posts!$N$2:$N$301,MATCH(A28,Data_Posts!$A$2:$A$301,0))</f>
        <v>MyntraFestiveEdit</v>
      </c>
      <c r="E28" s="28" t="n">
        <f aca="false">INDEX(Data_Posts!$P$2:$P$301,MATCH(A28,Data_Posts!$A$2:$A$301,0))</f>
        <v>0.100342359165889</v>
      </c>
      <c r="F28" s="26" t="n">
        <f aca="false">INDEX(Data_Posts!$K$2:$K$301,MATCH(A28,Data_Posts!$A$2:$A$301,0))</f>
        <v>103</v>
      </c>
    </row>
    <row r="29" customFormat="false" ht="15" hidden="false" customHeight="false" outlineLevel="0" collapsed="false">
      <c r="A29" s="26" t="s">
        <v>123</v>
      </c>
      <c r="B29" s="26" t="s">
        <v>37</v>
      </c>
      <c r="C29" s="26" t="s">
        <v>64</v>
      </c>
      <c r="D29" s="26" t="str">
        <f aca="false">INDEX(Data_Posts!$N$2:$N$301,MATCH(A29,Data_Posts!$A$2:$A$301,0))</f>
        <v>MyntraFestiveEdit</v>
      </c>
      <c r="E29" s="28" t="n">
        <f aca="false">INDEX(Data_Posts!$P$2:$P$301,MATCH(A29,Data_Posts!$A$2:$A$301,0))</f>
        <v>0.100342359165889</v>
      </c>
      <c r="F29" s="26" t="n">
        <f aca="false">INDEX(Data_Posts!$K$2:$K$301,MATCH(A29,Data_Posts!$A$2:$A$301,0))</f>
        <v>103</v>
      </c>
    </row>
    <row r="30" customFormat="false" ht="15" hidden="false" customHeight="false" outlineLevel="0" collapsed="false">
      <c r="A30" s="26" t="s">
        <v>124</v>
      </c>
      <c r="B30" s="26" t="s">
        <v>37</v>
      </c>
      <c r="C30" s="26" t="s">
        <v>61</v>
      </c>
      <c r="D30" s="26" t="str">
        <f aca="false">INDEX(Data_Posts!$N$2:$N$301,MATCH(A30,Data_Posts!$A$2:$A$301,0))</f>
        <v>MyntraFestiveEdit</v>
      </c>
      <c r="E30" s="28" t="n">
        <f aca="false">INDEX(Data_Posts!$P$2:$P$301,MATCH(A30,Data_Posts!$A$2:$A$301,0))</f>
        <v>0.0638096227247942</v>
      </c>
      <c r="F30" s="26" t="n">
        <f aca="false">INDEX(Data_Posts!$K$2:$K$301,MATCH(A30,Data_Posts!$A$2:$A$301,0))</f>
        <v>25</v>
      </c>
    </row>
    <row r="31" customFormat="false" ht="15" hidden="false" customHeight="false" outlineLevel="0" collapsed="false">
      <c r="A31" s="26" t="s">
        <v>124</v>
      </c>
      <c r="B31" s="26" t="s">
        <v>37</v>
      </c>
      <c r="C31" s="26" t="s">
        <v>62</v>
      </c>
      <c r="D31" s="26" t="str">
        <f aca="false">INDEX(Data_Posts!$N$2:$N$301,MATCH(A31,Data_Posts!$A$2:$A$301,0))</f>
        <v>MyntraFestiveEdit</v>
      </c>
      <c r="E31" s="28" t="n">
        <f aca="false">INDEX(Data_Posts!$P$2:$P$301,MATCH(A31,Data_Posts!$A$2:$A$301,0))</f>
        <v>0.0638096227247942</v>
      </c>
      <c r="F31" s="26" t="n">
        <f aca="false">INDEX(Data_Posts!$K$2:$K$301,MATCH(A31,Data_Posts!$A$2:$A$301,0))</f>
        <v>25</v>
      </c>
    </row>
    <row r="32" customFormat="false" ht="15" hidden="false" customHeight="false" outlineLevel="0" collapsed="false">
      <c r="A32" s="26" t="s">
        <v>125</v>
      </c>
      <c r="B32" s="26" t="s">
        <v>37</v>
      </c>
      <c r="C32" s="26" t="s">
        <v>64</v>
      </c>
      <c r="D32" s="26" t="str">
        <f aca="false">INDEX(Data_Posts!$N$2:$N$301,MATCH(A32,Data_Posts!$A$2:$A$301,0))</f>
        <v>MyntraFestiveEdit</v>
      </c>
      <c r="E32" s="28" t="n">
        <f aca="false">INDEX(Data_Posts!$P$2:$P$301,MATCH(A32,Data_Posts!$A$2:$A$301,0))</f>
        <v>0.0772495521565385</v>
      </c>
      <c r="F32" s="26" t="n">
        <f aca="false">INDEX(Data_Posts!$K$2:$K$301,MATCH(A32,Data_Posts!$A$2:$A$301,0))</f>
        <v>83</v>
      </c>
    </row>
    <row r="33" customFormat="false" ht="15" hidden="false" customHeight="false" outlineLevel="0" collapsed="false">
      <c r="A33" s="26" t="s">
        <v>125</v>
      </c>
      <c r="B33" s="26" t="s">
        <v>37</v>
      </c>
      <c r="C33" s="26" t="s">
        <v>63</v>
      </c>
      <c r="D33" s="26" t="str">
        <f aca="false">INDEX(Data_Posts!$N$2:$N$301,MATCH(A33,Data_Posts!$A$2:$A$301,0))</f>
        <v>MyntraFestiveEdit</v>
      </c>
      <c r="E33" s="28" t="n">
        <f aca="false">INDEX(Data_Posts!$P$2:$P$301,MATCH(A33,Data_Posts!$A$2:$A$301,0))</f>
        <v>0.0772495521565385</v>
      </c>
      <c r="F33" s="26" t="n">
        <f aca="false">INDEX(Data_Posts!$K$2:$K$301,MATCH(A33,Data_Posts!$A$2:$A$301,0))</f>
        <v>83</v>
      </c>
    </row>
    <row r="34" customFormat="false" ht="15" hidden="false" customHeight="false" outlineLevel="0" collapsed="false">
      <c r="A34" s="26" t="s">
        <v>126</v>
      </c>
      <c r="B34" s="26" t="s">
        <v>36</v>
      </c>
      <c r="C34" s="26" t="s">
        <v>62</v>
      </c>
      <c r="D34" s="26" t="str">
        <f aca="false">INDEX(Data_Posts!$N$2:$N$301,MATCH(A34,Data_Posts!$A$2:$A$301,0))</f>
        <v>StyleRevolution</v>
      </c>
      <c r="E34" s="28" t="n">
        <f aca="false">INDEX(Data_Posts!$P$2:$P$301,MATCH(A34,Data_Posts!$A$2:$A$301,0))</f>
        <v>0.0802945859872612</v>
      </c>
      <c r="F34" s="26" t="n">
        <f aca="false">INDEX(Data_Posts!$K$2:$K$301,MATCH(A34,Data_Posts!$A$2:$A$301,0))</f>
        <v>133</v>
      </c>
    </row>
    <row r="35" customFormat="false" ht="15" hidden="false" customHeight="false" outlineLevel="0" collapsed="false">
      <c r="A35" s="26" t="s">
        <v>127</v>
      </c>
      <c r="B35" s="26" t="s">
        <v>36</v>
      </c>
      <c r="C35" s="26" t="s">
        <v>62</v>
      </c>
      <c r="D35" s="26" t="str">
        <f aca="false">INDEX(Data_Posts!$N$2:$N$301,MATCH(A35,Data_Posts!$A$2:$A$301,0))</f>
        <v>MyntraFestiveEdit</v>
      </c>
      <c r="E35" s="28" t="n">
        <f aca="false">INDEX(Data_Posts!$P$2:$P$301,MATCH(A35,Data_Posts!$A$2:$A$301,0))</f>
        <v>0.07686799501868</v>
      </c>
      <c r="F35" s="26" t="n">
        <f aca="false">INDEX(Data_Posts!$K$2:$K$301,MATCH(A35,Data_Posts!$A$2:$A$301,0))</f>
        <v>225</v>
      </c>
    </row>
    <row r="36" customFormat="false" ht="15" hidden="false" customHeight="false" outlineLevel="0" collapsed="false">
      <c r="A36" s="26" t="s">
        <v>128</v>
      </c>
      <c r="B36" s="26" t="s">
        <v>36</v>
      </c>
      <c r="C36" s="26" t="s">
        <v>63</v>
      </c>
      <c r="D36" s="26" t="str">
        <f aca="false">INDEX(Data_Posts!$N$2:$N$301,MATCH(A36,Data_Posts!$A$2:$A$301,0))</f>
        <v>EndOfSeasonSale</v>
      </c>
      <c r="E36" s="28" t="n">
        <f aca="false">INDEX(Data_Posts!$P$2:$P$301,MATCH(A36,Data_Posts!$A$2:$A$301,0))</f>
        <v>0.0720703328036592</v>
      </c>
      <c r="F36" s="26" t="n">
        <f aca="false">INDEX(Data_Posts!$K$2:$K$301,MATCH(A36,Data_Posts!$A$2:$A$301,0))</f>
        <v>161</v>
      </c>
    </row>
    <row r="37" customFormat="false" ht="15" hidden="false" customHeight="false" outlineLevel="0" collapsed="false">
      <c r="A37" s="26" t="s">
        <v>129</v>
      </c>
      <c r="B37" s="26" t="s">
        <v>38</v>
      </c>
      <c r="C37" s="26" t="s">
        <v>64</v>
      </c>
      <c r="D37" s="26" t="str">
        <f aca="false">INDEX(Data_Posts!$N$2:$N$301,MATCH(A37,Data_Posts!$A$2:$A$301,0))</f>
        <v>FashionUpgrade</v>
      </c>
      <c r="E37" s="28" t="n">
        <f aca="false">INDEX(Data_Posts!$P$2:$P$301,MATCH(A37,Data_Posts!$A$2:$A$301,0))</f>
        <v>0.0594965675057208</v>
      </c>
      <c r="F37" s="26" t="n">
        <f aca="false">INDEX(Data_Posts!$K$2:$K$301,MATCH(A37,Data_Posts!$A$2:$A$301,0))</f>
        <v>238</v>
      </c>
    </row>
    <row r="38" customFormat="false" ht="15" hidden="false" customHeight="false" outlineLevel="0" collapsed="false">
      <c r="A38" s="26" t="s">
        <v>129</v>
      </c>
      <c r="B38" s="26" t="s">
        <v>38</v>
      </c>
      <c r="C38" s="26" t="s">
        <v>62</v>
      </c>
      <c r="D38" s="26" t="str">
        <f aca="false">INDEX(Data_Posts!$N$2:$N$301,MATCH(A38,Data_Posts!$A$2:$A$301,0))</f>
        <v>FashionUpgrade</v>
      </c>
      <c r="E38" s="28" t="n">
        <f aca="false">INDEX(Data_Posts!$P$2:$P$301,MATCH(A38,Data_Posts!$A$2:$A$301,0))</f>
        <v>0.0594965675057208</v>
      </c>
      <c r="F38" s="26" t="n">
        <f aca="false">INDEX(Data_Posts!$K$2:$K$301,MATCH(A38,Data_Posts!$A$2:$A$301,0))</f>
        <v>238</v>
      </c>
    </row>
    <row r="39" customFormat="false" ht="15" hidden="false" customHeight="false" outlineLevel="0" collapsed="false">
      <c r="A39" s="26" t="s">
        <v>130</v>
      </c>
      <c r="B39" s="26" t="s">
        <v>39</v>
      </c>
      <c r="C39" s="26" t="s">
        <v>62</v>
      </c>
      <c r="D39" s="26" t="str">
        <f aca="false">INDEX(Data_Posts!$N$2:$N$301,MATCH(A39,Data_Posts!$A$2:$A$301,0))</f>
        <v>EndOfSeasonSale</v>
      </c>
      <c r="E39" s="28" t="n">
        <f aca="false">INDEX(Data_Posts!$P$2:$P$301,MATCH(A39,Data_Posts!$A$2:$A$301,0))</f>
        <v>0.0897308075772682</v>
      </c>
      <c r="F39" s="26" t="n">
        <f aca="false">INDEX(Data_Posts!$K$2:$K$301,MATCH(A39,Data_Posts!$A$2:$A$301,0))</f>
        <v>211</v>
      </c>
    </row>
    <row r="40" customFormat="false" ht="15" hidden="false" customHeight="false" outlineLevel="0" collapsed="false">
      <c r="A40" s="26" t="s">
        <v>131</v>
      </c>
      <c r="B40" s="26" t="s">
        <v>39</v>
      </c>
      <c r="C40" s="26" t="s">
        <v>63</v>
      </c>
      <c r="D40" s="26" t="str">
        <f aca="false">INDEX(Data_Posts!$N$2:$N$301,MATCH(A40,Data_Posts!$A$2:$A$301,0))</f>
        <v>StyleRevolution</v>
      </c>
      <c r="E40" s="28" t="n">
        <f aca="false">INDEX(Data_Posts!$P$2:$P$301,MATCH(A40,Data_Posts!$A$2:$A$301,0))</f>
        <v>0.0715016859344894</v>
      </c>
      <c r="F40" s="26" t="n">
        <f aca="false">INDEX(Data_Posts!$K$2:$K$301,MATCH(A40,Data_Posts!$A$2:$A$301,0))</f>
        <v>51</v>
      </c>
    </row>
    <row r="41" customFormat="false" ht="15" hidden="false" customHeight="false" outlineLevel="0" collapsed="false">
      <c r="A41" s="26" t="s">
        <v>132</v>
      </c>
      <c r="B41" s="26" t="s">
        <v>37</v>
      </c>
      <c r="C41" s="26" t="s">
        <v>62</v>
      </c>
      <c r="D41" s="26" t="str">
        <f aca="false">INDEX(Data_Posts!$N$2:$N$301,MATCH(A41,Data_Posts!$A$2:$A$301,0))</f>
        <v>EndOfSeasonSale</v>
      </c>
      <c r="E41" s="28" t="n">
        <f aca="false">INDEX(Data_Posts!$P$2:$P$301,MATCH(A41,Data_Posts!$A$2:$A$301,0))</f>
        <v>0.170572916666667</v>
      </c>
      <c r="F41" s="26" t="n">
        <f aca="false">INDEX(Data_Posts!$K$2:$K$301,MATCH(A41,Data_Posts!$A$2:$A$301,0))</f>
        <v>79</v>
      </c>
    </row>
    <row r="42" customFormat="false" ht="15" hidden="false" customHeight="false" outlineLevel="0" collapsed="false">
      <c r="A42" s="26" t="s">
        <v>132</v>
      </c>
      <c r="B42" s="26" t="s">
        <v>37</v>
      </c>
      <c r="C42" s="26" t="s">
        <v>63</v>
      </c>
      <c r="D42" s="26" t="str">
        <f aca="false">INDEX(Data_Posts!$N$2:$N$301,MATCH(A42,Data_Posts!$A$2:$A$301,0))</f>
        <v>EndOfSeasonSale</v>
      </c>
      <c r="E42" s="28" t="n">
        <f aca="false">INDEX(Data_Posts!$P$2:$P$301,MATCH(A42,Data_Posts!$A$2:$A$301,0))</f>
        <v>0.170572916666667</v>
      </c>
      <c r="F42" s="26" t="n">
        <f aca="false">INDEX(Data_Posts!$K$2:$K$301,MATCH(A42,Data_Posts!$A$2:$A$301,0))</f>
        <v>79</v>
      </c>
    </row>
    <row r="43" customFormat="false" ht="15" hidden="false" customHeight="false" outlineLevel="0" collapsed="false">
      <c r="A43" s="26" t="s">
        <v>133</v>
      </c>
      <c r="B43" s="26" t="s">
        <v>37</v>
      </c>
      <c r="C43" s="26" t="s">
        <v>63</v>
      </c>
      <c r="D43" s="26" t="str">
        <f aca="false">INDEX(Data_Posts!$N$2:$N$301,MATCH(A43,Data_Posts!$A$2:$A$301,0))</f>
        <v>MyntraFestiveEdit</v>
      </c>
      <c r="E43" s="28" t="n">
        <f aca="false">INDEX(Data_Posts!$P$2:$P$301,MATCH(A43,Data_Posts!$A$2:$A$301,0))</f>
        <v>0.212081060015588</v>
      </c>
      <c r="F43" s="26" t="n">
        <f aca="false">INDEX(Data_Posts!$K$2:$K$301,MATCH(A43,Data_Posts!$A$2:$A$301,0))</f>
        <v>221</v>
      </c>
    </row>
    <row r="44" customFormat="false" ht="15" hidden="false" customHeight="false" outlineLevel="0" collapsed="false">
      <c r="A44" s="26" t="s">
        <v>133</v>
      </c>
      <c r="B44" s="26" t="s">
        <v>37</v>
      </c>
      <c r="C44" s="26" t="s">
        <v>61</v>
      </c>
      <c r="D44" s="26" t="str">
        <f aca="false">INDEX(Data_Posts!$N$2:$N$301,MATCH(A44,Data_Posts!$A$2:$A$301,0))</f>
        <v>MyntraFestiveEdit</v>
      </c>
      <c r="E44" s="28" t="n">
        <f aca="false">INDEX(Data_Posts!$P$2:$P$301,MATCH(A44,Data_Posts!$A$2:$A$301,0))</f>
        <v>0.212081060015588</v>
      </c>
      <c r="F44" s="26" t="n">
        <f aca="false">INDEX(Data_Posts!$K$2:$K$301,MATCH(A44,Data_Posts!$A$2:$A$301,0))</f>
        <v>221</v>
      </c>
    </row>
    <row r="45" customFormat="false" ht="15" hidden="false" customHeight="false" outlineLevel="0" collapsed="false">
      <c r="A45" s="26" t="s">
        <v>134</v>
      </c>
      <c r="B45" s="26" t="s">
        <v>37</v>
      </c>
      <c r="C45" s="26" t="s">
        <v>62</v>
      </c>
      <c r="D45" s="26" t="str">
        <f aca="false">INDEX(Data_Posts!$N$2:$N$301,MATCH(A45,Data_Posts!$A$2:$A$301,0))</f>
        <v>StyleRevolution</v>
      </c>
      <c r="E45" s="28" t="n">
        <f aca="false">INDEX(Data_Posts!$P$2:$P$301,MATCH(A45,Data_Posts!$A$2:$A$301,0))</f>
        <v>0.0576557171064441</v>
      </c>
      <c r="F45" s="26" t="n">
        <f aca="false">INDEX(Data_Posts!$K$2:$K$301,MATCH(A45,Data_Posts!$A$2:$A$301,0))</f>
        <v>93</v>
      </c>
    </row>
    <row r="46" customFormat="false" ht="15" hidden="false" customHeight="false" outlineLevel="0" collapsed="false">
      <c r="A46" s="26" t="s">
        <v>135</v>
      </c>
      <c r="B46" s="26" t="s">
        <v>37</v>
      </c>
      <c r="C46" s="26" t="s">
        <v>63</v>
      </c>
      <c r="D46" s="26" t="str">
        <f aca="false">INDEX(Data_Posts!$N$2:$N$301,MATCH(A46,Data_Posts!$A$2:$A$301,0))</f>
        <v>StyleRevolution</v>
      </c>
      <c r="E46" s="28" t="n">
        <f aca="false">INDEX(Data_Posts!$P$2:$P$301,MATCH(A46,Data_Posts!$A$2:$A$301,0))</f>
        <v>0.282452707110241</v>
      </c>
      <c r="F46" s="26" t="n">
        <f aca="false">INDEX(Data_Posts!$K$2:$K$301,MATCH(A46,Data_Posts!$A$2:$A$301,0))</f>
        <v>282</v>
      </c>
    </row>
    <row r="47" customFormat="false" ht="15" hidden="false" customHeight="false" outlineLevel="0" collapsed="false">
      <c r="A47" s="26" t="s">
        <v>136</v>
      </c>
      <c r="B47" s="26" t="s">
        <v>38</v>
      </c>
      <c r="C47" s="26" t="s">
        <v>63</v>
      </c>
      <c r="D47" s="26" t="str">
        <f aca="false">INDEX(Data_Posts!$N$2:$N$301,MATCH(A47,Data_Posts!$A$2:$A$301,0))</f>
        <v>StyleRevolution</v>
      </c>
      <c r="E47" s="28" t="n">
        <f aca="false">INDEX(Data_Posts!$P$2:$P$301,MATCH(A47,Data_Posts!$A$2:$A$301,0))</f>
        <v>0.190883816213052</v>
      </c>
      <c r="F47" s="26" t="n">
        <f aca="false">INDEX(Data_Posts!$K$2:$K$301,MATCH(A47,Data_Posts!$A$2:$A$301,0))</f>
        <v>275</v>
      </c>
    </row>
    <row r="48" customFormat="false" ht="15" hidden="false" customHeight="false" outlineLevel="0" collapsed="false">
      <c r="A48" s="26" t="s">
        <v>136</v>
      </c>
      <c r="B48" s="26" t="s">
        <v>38</v>
      </c>
      <c r="C48" s="26" t="s">
        <v>61</v>
      </c>
      <c r="D48" s="26" t="str">
        <f aca="false">INDEX(Data_Posts!$N$2:$N$301,MATCH(A48,Data_Posts!$A$2:$A$301,0))</f>
        <v>StyleRevolution</v>
      </c>
      <c r="E48" s="28" t="n">
        <f aca="false">INDEX(Data_Posts!$P$2:$P$301,MATCH(A48,Data_Posts!$A$2:$A$301,0))</f>
        <v>0.190883816213052</v>
      </c>
      <c r="F48" s="26" t="n">
        <f aca="false">INDEX(Data_Posts!$K$2:$K$301,MATCH(A48,Data_Posts!$A$2:$A$301,0))</f>
        <v>275</v>
      </c>
    </row>
    <row r="49" customFormat="false" ht="15" hidden="false" customHeight="false" outlineLevel="0" collapsed="false">
      <c r="A49" s="26" t="s">
        <v>137</v>
      </c>
      <c r="B49" s="26" t="s">
        <v>36</v>
      </c>
      <c r="C49" s="26" t="s">
        <v>61</v>
      </c>
      <c r="D49" s="26" t="str">
        <f aca="false">INDEX(Data_Posts!$N$2:$N$301,MATCH(A49,Data_Posts!$A$2:$A$301,0))</f>
        <v>MyntraFestiveEdit</v>
      </c>
      <c r="E49" s="28" t="n">
        <f aca="false">INDEX(Data_Posts!$P$2:$P$301,MATCH(A49,Data_Posts!$A$2:$A$301,0))</f>
        <v>0.127813314380479</v>
      </c>
      <c r="F49" s="26" t="n">
        <f aca="false">INDEX(Data_Posts!$K$2:$K$301,MATCH(A49,Data_Posts!$A$2:$A$301,0))</f>
        <v>113</v>
      </c>
    </row>
    <row r="50" customFormat="false" ht="15" hidden="false" customHeight="false" outlineLevel="0" collapsed="false">
      <c r="A50" s="26" t="s">
        <v>137</v>
      </c>
      <c r="B50" s="26" t="s">
        <v>36</v>
      </c>
      <c r="C50" s="26" t="s">
        <v>60</v>
      </c>
      <c r="D50" s="26" t="str">
        <f aca="false">INDEX(Data_Posts!$N$2:$N$301,MATCH(A50,Data_Posts!$A$2:$A$301,0))</f>
        <v>MyntraFestiveEdit</v>
      </c>
      <c r="E50" s="28" t="n">
        <f aca="false">INDEX(Data_Posts!$P$2:$P$301,MATCH(A50,Data_Posts!$A$2:$A$301,0))</f>
        <v>0.127813314380479</v>
      </c>
      <c r="F50" s="26" t="n">
        <f aca="false">INDEX(Data_Posts!$K$2:$K$301,MATCH(A50,Data_Posts!$A$2:$A$301,0))</f>
        <v>113</v>
      </c>
    </row>
    <row r="51" customFormat="false" ht="15" hidden="false" customHeight="false" outlineLevel="0" collapsed="false">
      <c r="A51" s="26" t="s">
        <v>138</v>
      </c>
      <c r="B51" s="26" t="s">
        <v>36</v>
      </c>
      <c r="C51" s="26" t="s">
        <v>63</v>
      </c>
      <c r="D51" s="26" t="str">
        <f aca="false">INDEX(Data_Posts!$N$2:$N$301,MATCH(A51,Data_Posts!$A$2:$A$301,0))</f>
        <v>EndOfSeasonSale</v>
      </c>
      <c r="E51" s="28" t="n">
        <f aca="false">INDEX(Data_Posts!$P$2:$P$301,MATCH(A51,Data_Posts!$A$2:$A$301,0))</f>
        <v>0.0705542103847189</v>
      </c>
      <c r="F51" s="26" t="n">
        <f aca="false">INDEX(Data_Posts!$K$2:$K$301,MATCH(A51,Data_Posts!$A$2:$A$301,0))</f>
        <v>215</v>
      </c>
    </row>
    <row r="52" customFormat="false" ht="15" hidden="false" customHeight="false" outlineLevel="0" collapsed="false">
      <c r="A52" s="26" t="s">
        <v>138</v>
      </c>
      <c r="B52" s="26" t="s">
        <v>36</v>
      </c>
      <c r="C52" s="26" t="s">
        <v>60</v>
      </c>
      <c r="D52" s="26" t="str">
        <f aca="false">INDEX(Data_Posts!$N$2:$N$301,MATCH(A52,Data_Posts!$A$2:$A$301,0))</f>
        <v>EndOfSeasonSale</v>
      </c>
      <c r="E52" s="28" t="n">
        <f aca="false">INDEX(Data_Posts!$P$2:$P$301,MATCH(A52,Data_Posts!$A$2:$A$301,0))</f>
        <v>0.0705542103847189</v>
      </c>
      <c r="F52" s="26" t="n">
        <f aca="false">INDEX(Data_Posts!$K$2:$K$301,MATCH(A52,Data_Posts!$A$2:$A$301,0))</f>
        <v>215</v>
      </c>
    </row>
    <row r="53" customFormat="false" ht="15" hidden="false" customHeight="false" outlineLevel="0" collapsed="false">
      <c r="A53" s="26" t="s">
        <v>139</v>
      </c>
      <c r="B53" s="26" t="s">
        <v>37</v>
      </c>
      <c r="C53" s="26" t="s">
        <v>64</v>
      </c>
      <c r="D53" s="26" t="str">
        <f aca="false">INDEX(Data_Posts!$N$2:$N$301,MATCH(A53,Data_Posts!$A$2:$A$301,0))</f>
        <v>MyntraFestiveEdit</v>
      </c>
      <c r="E53" s="28" t="n">
        <f aca="false">INDEX(Data_Posts!$P$2:$P$301,MATCH(A53,Data_Posts!$A$2:$A$301,0))</f>
        <v>0.118616629874908</v>
      </c>
      <c r="F53" s="26" t="n">
        <f aca="false">INDEX(Data_Posts!$K$2:$K$301,MATCH(A53,Data_Posts!$A$2:$A$301,0))</f>
        <v>271</v>
      </c>
    </row>
    <row r="54" customFormat="false" ht="15" hidden="false" customHeight="false" outlineLevel="0" collapsed="false">
      <c r="A54" s="26" t="s">
        <v>139</v>
      </c>
      <c r="B54" s="26" t="s">
        <v>37</v>
      </c>
      <c r="C54" s="26" t="s">
        <v>62</v>
      </c>
      <c r="D54" s="26" t="str">
        <f aca="false">INDEX(Data_Posts!$N$2:$N$301,MATCH(A54,Data_Posts!$A$2:$A$301,0))</f>
        <v>MyntraFestiveEdit</v>
      </c>
      <c r="E54" s="28" t="n">
        <f aca="false">INDEX(Data_Posts!$P$2:$P$301,MATCH(A54,Data_Posts!$A$2:$A$301,0))</f>
        <v>0.118616629874908</v>
      </c>
      <c r="F54" s="26" t="n">
        <f aca="false">INDEX(Data_Posts!$K$2:$K$301,MATCH(A54,Data_Posts!$A$2:$A$301,0))</f>
        <v>271</v>
      </c>
    </row>
    <row r="55" customFormat="false" ht="15" hidden="false" customHeight="false" outlineLevel="0" collapsed="false">
      <c r="A55" s="26" t="s">
        <v>140</v>
      </c>
      <c r="B55" s="26" t="s">
        <v>37</v>
      </c>
      <c r="C55" s="26" t="s">
        <v>60</v>
      </c>
      <c r="D55" s="26" t="str">
        <f aca="false">INDEX(Data_Posts!$N$2:$N$301,MATCH(A55,Data_Posts!$A$2:$A$301,0))</f>
        <v>EndOfSeasonSale</v>
      </c>
      <c r="E55" s="28" t="n">
        <f aca="false">INDEX(Data_Posts!$P$2:$P$301,MATCH(A55,Data_Posts!$A$2:$A$301,0))</f>
        <v>0.0765235354876789</v>
      </c>
      <c r="F55" s="26" t="n">
        <f aca="false">INDEX(Data_Posts!$K$2:$K$301,MATCH(A55,Data_Posts!$A$2:$A$301,0))</f>
        <v>31</v>
      </c>
    </row>
    <row r="56" customFormat="false" ht="15" hidden="false" customHeight="false" outlineLevel="0" collapsed="false">
      <c r="A56" s="26" t="s">
        <v>141</v>
      </c>
      <c r="B56" s="26" t="s">
        <v>36</v>
      </c>
      <c r="C56" s="26" t="s">
        <v>62</v>
      </c>
      <c r="D56" s="26" t="str">
        <f aca="false">INDEX(Data_Posts!$N$2:$N$301,MATCH(A56,Data_Posts!$A$2:$A$301,0))</f>
        <v>MyntraFestiveEdit</v>
      </c>
      <c r="E56" s="28" t="n">
        <f aca="false">INDEX(Data_Posts!$P$2:$P$301,MATCH(A56,Data_Posts!$A$2:$A$301,0))</f>
        <v>0.177703373015873</v>
      </c>
      <c r="F56" s="26" t="n">
        <f aca="false">INDEX(Data_Posts!$K$2:$K$301,MATCH(A56,Data_Posts!$A$2:$A$301,0))</f>
        <v>36</v>
      </c>
    </row>
    <row r="57" customFormat="false" ht="15" hidden="false" customHeight="false" outlineLevel="0" collapsed="false">
      <c r="A57" s="26" t="s">
        <v>142</v>
      </c>
      <c r="B57" s="26" t="s">
        <v>39</v>
      </c>
      <c r="C57" s="26" t="s">
        <v>60</v>
      </c>
      <c r="D57" s="26" t="str">
        <f aca="false">INDEX(Data_Posts!$N$2:$N$301,MATCH(A57,Data_Posts!$A$2:$A$301,0))</f>
        <v>StyleRevolution</v>
      </c>
      <c r="E57" s="28" t="n">
        <f aca="false">INDEX(Data_Posts!$P$2:$P$301,MATCH(A57,Data_Posts!$A$2:$A$301,0))</f>
        <v>0.125770129594221</v>
      </c>
      <c r="F57" s="26" t="n">
        <f aca="false">INDEX(Data_Posts!$K$2:$K$301,MATCH(A57,Data_Posts!$A$2:$A$301,0))</f>
        <v>87</v>
      </c>
    </row>
    <row r="58" customFormat="false" ht="15" hidden="false" customHeight="false" outlineLevel="0" collapsed="false">
      <c r="A58" s="26" t="s">
        <v>143</v>
      </c>
      <c r="B58" s="26" t="s">
        <v>36</v>
      </c>
      <c r="C58" s="26" t="s">
        <v>60</v>
      </c>
      <c r="D58" s="26" t="str">
        <f aca="false">INDEX(Data_Posts!$N$2:$N$301,MATCH(A58,Data_Posts!$A$2:$A$301,0))</f>
        <v>MyntraFestiveEdit</v>
      </c>
      <c r="E58" s="28" t="n">
        <f aca="false">INDEX(Data_Posts!$P$2:$P$301,MATCH(A58,Data_Posts!$A$2:$A$301,0))</f>
        <v>0.0721264936951211</v>
      </c>
      <c r="F58" s="26" t="n">
        <f aca="false">INDEX(Data_Posts!$K$2:$K$301,MATCH(A58,Data_Posts!$A$2:$A$301,0))</f>
        <v>92</v>
      </c>
    </row>
    <row r="59" customFormat="false" ht="15" hidden="false" customHeight="false" outlineLevel="0" collapsed="false">
      <c r="A59" s="26" t="s">
        <v>143</v>
      </c>
      <c r="B59" s="26" t="s">
        <v>36</v>
      </c>
      <c r="C59" s="26" t="s">
        <v>62</v>
      </c>
      <c r="D59" s="26" t="str">
        <f aca="false">INDEX(Data_Posts!$N$2:$N$301,MATCH(A59,Data_Posts!$A$2:$A$301,0))</f>
        <v>MyntraFestiveEdit</v>
      </c>
      <c r="E59" s="28" t="n">
        <f aca="false">INDEX(Data_Posts!$P$2:$P$301,MATCH(A59,Data_Posts!$A$2:$A$301,0))</f>
        <v>0.0721264936951211</v>
      </c>
      <c r="F59" s="26" t="n">
        <f aca="false">INDEX(Data_Posts!$K$2:$K$301,MATCH(A59,Data_Posts!$A$2:$A$301,0))</f>
        <v>92</v>
      </c>
    </row>
    <row r="60" customFormat="false" ht="15" hidden="false" customHeight="false" outlineLevel="0" collapsed="false">
      <c r="A60" s="26" t="s">
        <v>144</v>
      </c>
      <c r="B60" s="26" t="s">
        <v>38</v>
      </c>
      <c r="C60" s="26" t="s">
        <v>64</v>
      </c>
      <c r="D60" s="26" t="str">
        <f aca="false">INDEX(Data_Posts!$N$2:$N$301,MATCH(A60,Data_Posts!$A$2:$A$301,0))</f>
        <v>EndOfSeasonSale</v>
      </c>
      <c r="E60" s="28" t="n">
        <f aca="false">INDEX(Data_Posts!$P$2:$P$301,MATCH(A60,Data_Posts!$A$2:$A$301,0))</f>
        <v>0.139894736842105</v>
      </c>
      <c r="F60" s="26" t="n">
        <f aca="false">INDEX(Data_Posts!$K$2:$K$301,MATCH(A60,Data_Posts!$A$2:$A$301,0))</f>
        <v>299</v>
      </c>
    </row>
    <row r="61" customFormat="false" ht="15" hidden="false" customHeight="false" outlineLevel="0" collapsed="false">
      <c r="A61" s="26" t="s">
        <v>144</v>
      </c>
      <c r="B61" s="26" t="s">
        <v>38</v>
      </c>
      <c r="C61" s="26" t="s">
        <v>62</v>
      </c>
      <c r="D61" s="26" t="str">
        <f aca="false">INDEX(Data_Posts!$N$2:$N$301,MATCH(A61,Data_Posts!$A$2:$A$301,0))</f>
        <v>EndOfSeasonSale</v>
      </c>
      <c r="E61" s="28" t="n">
        <f aca="false">INDEX(Data_Posts!$P$2:$P$301,MATCH(A61,Data_Posts!$A$2:$A$301,0))</f>
        <v>0.139894736842105</v>
      </c>
      <c r="F61" s="26" t="n">
        <f aca="false">INDEX(Data_Posts!$K$2:$K$301,MATCH(A61,Data_Posts!$A$2:$A$301,0))</f>
        <v>299</v>
      </c>
    </row>
    <row r="62" customFormat="false" ht="15" hidden="false" customHeight="false" outlineLevel="0" collapsed="false">
      <c r="A62" s="26" t="s">
        <v>145</v>
      </c>
      <c r="B62" s="26" t="s">
        <v>37</v>
      </c>
      <c r="C62" s="26" t="s">
        <v>62</v>
      </c>
      <c r="D62" s="26" t="str">
        <f aca="false">INDEX(Data_Posts!$N$2:$N$301,MATCH(A62,Data_Posts!$A$2:$A$301,0))</f>
        <v>MyntraFestiveEdit</v>
      </c>
      <c r="E62" s="28" t="n">
        <f aca="false">INDEX(Data_Posts!$P$2:$P$301,MATCH(A62,Data_Posts!$A$2:$A$301,0))</f>
        <v>0.184332358674464</v>
      </c>
      <c r="F62" s="26" t="n">
        <f aca="false">INDEX(Data_Posts!$K$2:$K$301,MATCH(A62,Data_Posts!$A$2:$A$301,0))</f>
        <v>205</v>
      </c>
    </row>
    <row r="63" customFormat="false" ht="15" hidden="false" customHeight="false" outlineLevel="0" collapsed="false">
      <c r="A63" s="26" t="s">
        <v>145</v>
      </c>
      <c r="B63" s="26" t="s">
        <v>37</v>
      </c>
      <c r="C63" s="26" t="s">
        <v>60</v>
      </c>
      <c r="D63" s="26" t="str">
        <f aca="false">INDEX(Data_Posts!$N$2:$N$301,MATCH(A63,Data_Posts!$A$2:$A$301,0))</f>
        <v>MyntraFestiveEdit</v>
      </c>
      <c r="E63" s="28" t="n">
        <f aca="false">INDEX(Data_Posts!$P$2:$P$301,MATCH(A63,Data_Posts!$A$2:$A$301,0))</f>
        <v>0.184332358674464</v>
      </c>
      <c r="F63" s="26" t="n">
        <f aca="false">INDEX(Data_Posts!$K$2:$K$301,MATCH(A63,Data_Posts!$A$2:$A$301,0))</f>
        <v>205</v>
      </c>
    </row>
    <row r="64" customFormat="false" ht="15" hidden="false" customHeight="false" outlineLevel="0" collapsed="false">
      <c r="A64" s="26" t="s">
        <v>146</v>
      </c>
      <c r="B64" s="26" t="s">
        <v>39</v>
      </c>
      <c r="C64" s="26" t="s">
        <v>64</v>
      </c>
      <c r="D64" s="26" t="str">
        <f aca="false">INDEX(Data_Posts!$N$2:$N$301,MATCH(A64,Data_Posts!$A$2:$A$301,0))</f>
        <v>MyntraFestiveEdit</v>
      </c>
      <c r="E64" s="28" t="n">
        <f aca="false">INDEX(Data_Posts!$P$2:$P$301,MATCH(A64,Data_Posts!$A$2:$A$301,0))</f>
        <v>0.218405703175632</v>
      </c>
      <c r="F64" s="26" t="n">
        <f aca="false">INDEX(Data_Posts!$K$2:$K$301,MATCH(A64,Data_Posts!$A$2:$A$301,0))</f>
        <v>241</v>
      </c>
    </row>
    <row r="65" customFormat="false" ht="15" hidden="false" customHeight="false" outlineLevel="0" collapsed="false">
      <c r="A65" s="26" t="s">
        <v>147</v>
      </c>
      <c r="B65" s="26" t="s">
        <v>37</v>
      </c>
      <c r="C65" s="26" t="s">
        <v>62</v>
      </c>
      <c r="D65" s="26" t="str">
        <f aca="false">INDEX(Data_Posts!$N$2:$N$301,MATCH(A65,Data_Posts!$A$2:$A$301,0))</f>
        <v>StyleRevolution</v>
      </c>
      <c r="E65" s="28" t="n">
        <f aca="false">INDEX(Data_Posts!$P$2:$P$301,MATCH(A65,Data_Posts!$A$2:$A$301,0))</f>
        <v>0.218261269549218</v>
      </c>
      <c r="F65" s="26" t="n">
        <f aca="false">INDEX(Data_Posts!$K$2:$K$301,MATCH(A65,Data_Posts!$A$2:$A$301,0))</f>
        <v>137</v>
      </c>
    </row>
    <row r="66" customFormat="false" ht="15" hidden="false" customHeight="false" outlineLevel="0" collapsed="false">
      <c r="A66" s="26" t="s">
        <v>147</v>
      </c>
      <c r="B66" s="26" t="s">
        <v>37</v>
      </c>
      <c r="C66" s="26" t="s">
        <v>61</v>
      </c>
      <c r="D66" s="26" t="str">
        <f aca="false">INDEX(Data_Posts!$N$2:$N$301,MATCH(A66,Data_Posts!$A$2:$A$301,0))</f>
        <v>StyleRevolution</v>
      </c>
      <c r="E66" s="28" t="n">
        <f aca="false">INDEX(Data_Posts!$P$2:$P$301,MATCH(A66,Data_Posts!$A$2:$A$301,0))</f>
        <v>0.218261269549218</v>
      </c>
      <c r="F66" s="26" t="n">
        <f aca="false">INDEX(Data_Posts!$K$2:$K$301,MATCH(A66,Data_Posts!$A$2:$A$301,0))</f>
        <v>137</v>
      </c>
    </row>
    <row r="67" customFormat="false" ht="15" hidden="false" customHeight="false" outlineLevel="0" collapsed="false">
      <c r="A67" s="26" t="s">
        <v>148</v>
      </c>
      <c r="B67" s="26" t="s">
        <v>38</v>
      </c>
      <c r="C67" s="26" t="s">
        <v>62</v>
      </c>
      <c r="D67" s="26" t="str">
        <f aca="false">INDEX(Data_Posts!$N$2:$N$301,MATCH(A67,Data_Posts!$A$2:$A$301,0))</f>
        <v>FashionUpgrade</v>
      </c>
      <c r="E67" s="28" t="n">
        <f aca="false">INDEX(Data_Posts!$P$2:$P$301,MATCH(A67,Data_Posts!$A$2:$A$301,0))</f>
        <v>0.0985581000848177</v>
      </c>
      <c r="F67" s="26" t="n">
        <f aca="false">INDEX(Data_Posts!$K$2:$K$301,MATCH(A67,Data_Posts!$A$2:$A$301,0))</f>
        <v>216</v>
      </c>
    </row>
    <row r="68" customFormat="false" ht="15" hidden="false" customHeight="false" outlineLevel="0" collapsed="false">
      <c r="A68" s="26" t="s">
        <v>148</v>
      </c>
      <c r="B68" s="26" t="s">
        <v>38</v>
      </c>
      <c r="C68" s="26" t="s">
        <v>64</v>
      </c>
      <c r="D68" s="26" t="str">
        <f aca="false">INDEX(Data_Posts!$N$2:$N$301,MATCH(A68,Data_Posts!$A$2:$A$301,0))</f>
        <v>FashionUpgrade</v>
      </c>
      <c r="E68" s="28" t="n">
        <f aca="false">INDEX(Data_Posts!$P$2:$P$301,MATCH(A68,Data_Posts!$A$2:$A$301,0))</f>
        <v>0.0985581000848177</v>
      </c>
      <c r="F68" s="26" t="n">
        <f aca="false">INDEX(Data_Posts!$K$2:$K$301,MATCH(A68,Data_Posts!$A$2:$A$301,0))</f>
        <v>216</v>
      </c>
    </row>
    <row r="69" customFormat="false" ht="15" hidden="false" customHeight="false" outlineLevel="0" collapsed="false">
      <c r="A69" s="26" t="s">
        <v>149</v>
      </c>
      <c r="B69" s="26" t="s">
        <v>36</v>
      </c>
      <c r="C69" s="26" t="s">
        <v>60</v>
      </c>
      <c r="D69" s="26" t="str">
        <f aca="false">INDEX(Data_Posts!$N$2:$N$301,MATCH(A69,Data_Posts!$A$2:$A$301,0))</f>
        <v>StyleRevolution</v>
      </c>
      <c r="E69" s="28" t="n">
        <f aca="false">INDEX(Data_Posts!$P$2:$P$301,MATCH(A69,Data_Posts!$A$2:$A$301,0))</f>
        <v>0.0752299021061999</v>
      </c>
      <c r="F69" s="26" t="n">
        <f aca="false">INDEX(Data_Posts!$K$2:$K$301,MATCH(A69,Data_Posts!$A$2:$A$301,0))</f>
        <v>176</v>
      </c>
    </row>
    <row r="70" customFormat="false" ht="15" hidden="false" customHeight="false" outlineLevel="0" collapsed="false">
      <c r="A70" s="26" t="s">
        <v>150</v>
      </c>
      <c r="B70" s="26" t="s">
        <v>38</v>
      </c>
      <c r="C70" s="26" t="s">
        <v>61</v>
      </c>
      <c r="D70" s="26" t="str">
        <f aca="false">INDEX(Data_Posts!$N$2:$N$301,MATCH(A70,Data_Posts!$A$2:$A$301,0))</f>
        <v>StyleRevolution</v>
      </c>
      <c r="E70" s="28" t="n">
        <f aca="false">INDEX(Data_Posts!$P$2:$P$301,MATCH(A70,Data_Posts!$A$2:$A$301,0))</f>
        <v>0.168885379061372</v>
      </c>
      <c r="F70" s="26" t="n">
        <f aca="false">INDEX(Data_Posts!$K$2:$K$301,MATCH(A70,Data_Posts!$A$2:$A$301,0))</f>
        <v>97</v>
      </c>
    </row>
    <row r="71" customFormat="false" ht="15" hidden="false" customHeight="false" outlineLevel="0" collapsed="false">
      <c r="A71" s="26" t="s">
        <v>151</v>
      </c>
      <c r="B71" s="26" t="s">
        <v>38</v>
      </c>
      <c r="C71" s="26" t="s">
        <v>60</v>
      </c>
      <c r="D71" s="26" t="str">
        <f aca="false">INDEX(Data_Posts!$N$2:$N$301,MATCH(A71,Data_Posts!$A$2:$A$301,0))</f>
        <v>FashionUpgrade</v>
      </c>
      <c r="E71" s="28" t="n">
        <f aca="false">INDEX(Data_Posts!$P$2:$P$301,MATCH(A71,Data_Posts!$A$2:$A$301,0))</f>
        <v>0.166836168639053</v>
      </c>
      <c r="F71" s="26" t="n">
        <f aca="false">INDEX(Data_Posts!$K$2:$K$301,MATCH(A71,Data_Posts!$A$2:$A$301,0))</f>
        <v>127</v>
      </c>
    </row>
    <row r="72" customFormat="false" ht="15" hidden="false" customHeight="false" outlineLevel="0" collapsed="false">
      <c r="A72" s="26" t="s">
        <v>151</v>
      </c>
      <c r="B72" s="26" t="s">
        <v>38</v>
      </c>
      <c r="C72" s="26" t="s">
        <v>61</v>
      </c>
      <c r="D72" s="26" t="str">
        <f aca="false">INDEX(Data_Posts!$N$2:$N$301,MATCH(A72,Data_Posts!$A$2:$A$301,0))</f>
        <v>FashionUpgrade</v>
      </c>
      <c r="E72" s="28" t="n">
        <f aca="false">INDEX(Data_Posts!$P$2:$P$301,MATCH(A72,Data_Posts!$A$2:$A$301,0))</f>
        <v>0.166836168639053</v>
      </c>
      <c r="F72" s="26" t="n">
        <f aca="false">INDEX(Data_Posts!$K$2:$K$301,MATCH(A72,Data_Posts!$A$2:$A$301,0))</f>
        <v>127</v>
      </c>
    </row>
    <row r="73" customFormat="false" ht="15" hidden="false" customHeight="false" outlineLevel="0" collapsed="false">
      <c r="A73" s="26" t="s">
        <v>152</v>
      </c>
      <c r="B73" s="26" t="s">
        <v>38</v>
      </c>
      <c r="C73" s="26" t="s">
        <v>61</v>
      </c>
      <c r="D73" s="26" t="str">
        <f aca="false">INDEX(Data_Posts!$N$2:$N$301,MATCH(A73,Data_Posts!$A$2:$A$301,0))</f>
        <v>StyleRevolution</v>
      </c>
      <c r="E73" s="28" t="n">
        <f aca="false">INDEX(Data_Posts!$P$2:$P$301,MATCH(A73,Data_Posts!$A$2:$A$301,0))</f>
        <v>0.0734952766531714</v>
      </c>
      <c r="F73" s="26" t="n">
        <f aca="false">INDEX(Data_Posts!$K$2:$K$301,MATCH(A73,Data_Posts!$A$2:$A$301,0))</f>
        <v>119</v>
      </c>
    </row>
    <row r="74" customFormat="false" ht="15" hidden="false" customHeight="false" outlineLevel="0" collapsed="false">
      <c r="A74" s="26" t="s">
        <v>152</v>
      </c>
      <c r="B74" s="26" t="s">
        <v>38</v>
      </c>
      <c r="C74" s="26" t="s">
        <v>64</v>
      </c>
      <c r="D74" s="26" t="str">
        <f aca="false">INDEX(Data_Posts!$N$2:$N$301,MATCH(A74,Data_Posts!$A$2:$A$301,0))</f>
        <v>StyleRevolution</v>
      </c>
      <c r="E74" s="28" t="n">
        <f aca="false">INDEX(Data_Posts!$P$2:$P$301,MATCH(A74,Data_Posts!$A$2:$A$301,0))</f>
        <v>0.0734952766531714</v>
      </c>
      <c r="F74" s="26" t="n">
        <f aca="false">INDEX(Data_Posts!$K$2:$K$301,MATCH(A74,Data_Posts!$A$2:$A$301,0))</f>
        <v>119</v>
      </c>
    </row>
    <row r="75" customFormat="false" ht="15" hidden="false" customHeight="false" outlineLevel="0" collapsed="false">
      <c r="A75" s="26" t="s">
        <v>153</v>
      </c>
      <c r="B75" s="26" t="s">
        <v>38</v>
      </c>
      <c r="C75" s="26" t="s">
        <v>64</v>
      </c>
      <c r="D75" s="26" t="str">
        <f aca="false">INDEX(Data_Posts!$N$2:$N$301,MATCH(A75,Data_Posts!$A$2:$A$301,0))</f>
        <v>FashionUpgrade</v>
      </c>
      <c r="E75" s="28" t="n">
        <f aca="false">INDEX(Data_Posts!$P$2:$P$301,MATCH(A75,Data_Posts!$A$2:$A$301,0))</f>
        <v>0.106178017915541</v>
      </c>
      <c r="F75" s="26" t="n">
        <f aca="false">INDEX(Data_Posts!$K$2:$K$301,MATCH(A75,Data_Posts!$A$2:$A$301,0))</f>
        <v>177</v>
      </c>
    </row>
    <row r="76" customFormat="false" ht="15" hidden="false" customHeight="false" outlineLevel="0" collapsed="false">
      <c r="A76" s="26" t="s">
        <v>154</v>
      </c>
      <c r="B76" s="26" t="s">
        <v>39</v>
      </c>
      <c r="C76" s="26" t="s">
        <v>61</v>
      </c>
      <c r="D76" s="26" t="str">
        <f aca="false">INDEX(Data_Posts!$N$2:$N$301,MATCH(A76,Data_Posts!$A$2:$A$301,0))</f>
        <v>FashionUpgrade</v>
      </c>
      <c r="E76" s="28" t="n">
        <f aca="false">INDEX(Data_Posts!$P$2:$P$301,MATCH(A76,Data_Posts!$A$2:$A$301,0))</f>
        <v>0.13498547567175</v>
      </c>
      <c r="F76" s="26" t="n">
        <f aca="false">INDEX(Data_Posts!$K$2:$K$301,MATCH(A76,Data_Posts!$A$2:$A$301,0))</f>
        <v>112</v>
      </c>
    </row>
    <row r="77" customFormat="false" ht="15" hidden="false" customHeight="false" outlineLevel="0" collapsed="false">
      <c r="A77" s="26" t="s">
        <v>155</v>
      </c>
      <c r="B77" s="26" t="s">
        <v>36</v>
      </c>
      <c r="C77" s="26" t="s">
        <v>62</v>
      </c>
      <c r="D77" s="26" t="str">
        <f aca="false">INDEX(Data_Posts!$N$2:$N$301,MATCH(A77,Data_Posts!$A$2:$A$301,0))</f>
        <v>MyntraFestiveEdit</v>
      </c>
      <c r="E77" s="28" t="n">
        <f aca="false">INDEX(Data_Posts!$P$2:$P$301,MATCH(A77,Data_Posts!$A$2:$A$301,0))</f>
        <v>0.0786898395721925</v>
      </c>
      <c r="F77" s="26" t="n">
        <f aca="false">INDEX(Data_Posts!$K$2:$K$301,MATCH(A77,Data_Posts!$A$2:$A$301,0))</f>
        <v>225</v>
      </c>
    </row>
    <row r="78" customFormat="false" ht="15" hidden="false" customHeight="false" outlineLevel="0" collapsed="false">
      <c r="A78" s="26" t="s">
        <v>156</v>
      </c>
      <c r="B78" s="26" t="s">
        <v>36</v>
      </c>
      <c r="C78" s="26" t="s">
        <v>61</v>
      </c>
      <c r="D78" s="26" t="str">
        <f aca="false">INDEX(Data_Posts!$N$2:$N$301,MATCH(A78,Data_Posts!$A$2:$A$301,0))</f>
        <v>MyntraFestiveEdit</v>
      </c>
      <c r="E78" s="28" t="n">
        <f aca="false">INDEX(Data_Posts!$P$2:$P$301,MATCH(A78,Data_Posts!$A$2:$A$301,0))</f>
        <v>0.156954977440722</v>
      </c>
      <c r="F78" s="26" t="n">
        <f aca="false">INDEX(Data_Posts!$K$2:$K$301,MATCH(A78,Data_Posts!$A$2:$A$301,0))</f>
        <v>34</v>
      </c>
    </row>
    <row r="79" customFormat="false" ht="15" hidden="false" customHeight="false" outlineLevel="0" collapsed="false">
      <c r="A79" s="26" t="s">
        <v>156</v>
      </c>
      <c r="B79" s="26" t="s">
        <v>36</v>
      </c>
      <c r="C79" s="26" t="s">
        <v>62</v>
      </c>
      <c r="D79" s="26" t="str">
        <f aca="false">INDEX(Data_Posts!$N$2:$N$301,MATCH(A79,Data_Posts!$A$2:$A$301,0))</f>
        <v>MyntraFestiveEdit</v>
      </c>
      <c r="E79" s="28" t="n">
        <f aca="false">INDEX(Data_Posts!$P$2:$P$301,MATCH(A79,Data_Posts!$A$2:$A$301,0))</f>
        <v>0.156954977440722</v>
      </c>
      <c r="F79" s="26" t="n">
        <f aca="false">INDEX(Data_Posts!$K$2:$K$301,MATCH(A79,Data_Posts!$A$2:$A$301,0))</f>
        <v>34</v>
      </c>
    </row>
    <row r="80" customFormat="false" ht="15" hidden="false" customHeight="false" outlineLevel="0" collapsed="false">
      <c r="A80" s="26" t="s">
        <v>157</v>
      </c>
      <c r="B80" s="26" t="s">
        <v>39</v>
      </c>
      <c r="C80" s="26" t="s">
        <v>64</v>
      </c>
      <c r="D80" s="26" t="str">
        <f aca="false">INDEX(Data_Posts!$N$2:$N$301,MATCH(A80,Data_Posts!$A$2:$A$301,0))</f>
        <v>StyleRevolution</v>
      </c>
      <c r="E80" s="28" t="n">
        <f aca="false">INDEX(Data_Posts!$P$2:$P$301,MATCH(A80,Data_Posts!$A$2:$A$301,0))</f>
        <v>0.369651741293532</v>
      </c>
      <c r="F80" s="26" t="n">
        <f aca="false">INDEX(Data_Posts!$K$2:$K$301,MATCH(A80,Data_Posts!$A$2:$A$301,0))</f>
        <v>11</v>
      </c>
    </row>
    <row r="81" customFormat="false" ht="15" hidden="false" customHeight="false" outlineLevel="0" collapsed="false">
      <c r="A81" s="26" t="s">
        <v>157</v>
      </c>
      <c r="B81" s="26" t="s">
        <v>39</v>
      </c>
      <c r="C81" s="26" t="s">
        <v>63</v>
      </c>
      <c r="D81" s="26" t="str">
        <f aca="false">INDEX(Data_Posts!$N$2:$N$301,MATCH(A81,Data_Posts!$A$2:$A$301,0))</f>
        <v>StyleRevolution</v>
      </c>
      <c r="E81" s="28" t="n">
        <f aca="false">INDEX(Data_Posts!$P$2:$P$301,MATCH(A81,Data_Posts!$A$2:$A$301,0))</f>
        <v>0.369651741293532</v>
      </c>
      <c r="F81" s="26" t="n">
        <f aca="false">INDEX(Data_Posts!$K$2:$K$301,MATCH(A81,Data_Posts!$A$2:$A$301,0))</f>
        <v>11</v>
      </c>
    </row>
    <row r="82" customFormat="false" ht="15" hidden="false" customHeight="false" outlineLevel="0" collapsed="false">
      <c r="A82" s="26" t="s">
        <v>158</v>
      </c>
      <c r="B82" s="26" t="s">
        <v>39</v>
      </c>
      <c r="C82" s="26" t="s">
        <v>61</v>
      </c>
      <c r="D82" s="26" t="str">
        <f aca="false">INDEX(Data_Posts!$N$2:$N$301,MATCH(A82,Data_Posts!$A$2:$A$301,0))</f>
        <v>EndOfSeasonSale</v>
      </c>
      <c r="E82" s="28" t="n">
        <f aca="false">INDEX(Data_Posts!$P$2:$P$301,MATCH(A82,Data_Posts!$A$2:$A$301,0))</f>
        <v>0.165102987167044</v>
      </c>
      <c r="F82" s="26" t="n">
        <f aca="false">INDEX(Data_Posts!$K$2:$K$301,MATCH(A82,Data_Posts!$A$2:$A$301,0))</f>
        <v>52</v>
      </c>
    </row>
    <row r="83" customFormat="false" ht="15" hidden="false" customHeight="false" outlineLevel="0" collapsed="false">
      <c r="A83" s="26" t="s">
        <v>158</v>
      </c>
      <c r="B83" s="26" t="s">
        <v>39</v>
      </c>
      <c r="C83" s="26" t="s">
        <v>60</v>
      </c>
      <c r="D83" s="26" t="str">
        <f aca="false">INDEX(Data_Posts!$N$2:$N$301,MATCH(A83,Data_Posts!$A$2:$A$301,0))</f>
        <v>EndOfSeasonSale</v>
      </c>
      <c r="E83" s="28" t="n">
        <f aca="false">INDEX(Data_Posts!$P$2:$P$301,MATCH(A83,Data_Posts!$A$2:$A$301,0))</f>
        <v>0.165102987167044</v>
      </c>
      <c r="F83" s="26" t="n">
        <f aca="false">INDEX(Data_Posts!$K$2:$K$301,MATCH(A83,Data_Posts!$A$2:$A$301,0))</f>
        <v>52</v>
      </c>
    </row>
    <row r="84" customFormat="false" ht="15" hidden="false" customHeight="false" outlineLevel="0" collapsed="false">
      <c r="A84" s="26" t="s">
        <v>159</v>
      </c>
      <c r="B84" s="26" t="s">
        <v>36</v>
      </c>
      <c r="C84" s="26" t="s">
        <v>62</v>
      </c>
      <c r="D84" s="26" t="str">
        <f aca="false">INDEX(Data_Posts!$N$2:$N$301,MATCH(A84,Data_Posts!$A$2:$A$301,0))</f>
        <v>StyleRevolution</v>
      </c>
      <c r="E84" s="28" t="n">
        <f aca="false">INDEX(Data_Posts!$P$2:$P$301,MATCH(A84,Data_Posts!$A$2:$A$301,0))</f>
        <v>0.0918977705274606</v>
      </c>
      <c r="F84" s="26" t="n">
        <f aca="false">INDEX(Data_Posts!$K$2:$K$301,MATCH(A84,Data_Posts!$A$2:$A$301,0))</f>
        <v>123</v>
      </c>
    </row>
    <row r="85" customFormat="false" ht="15" hidden="false" customHeight="false" outlineLevel="0" collapsed="false">
      <c r="A85" s="26" t="s">
        <v>159</v>
      </c>
      <c r="B85" s="26" t="s">
        <v>36</v>
      </c>
      <c r="C85" s="26" t="s">
        <v>63</v>
      </c>
      <c r="D85" s="26" t="str">
        <f aca="false">INDEX(Data_Posts!$N$2:$N$301,MATCH(A85,Data_Posts!$A$2:$A$301,0))</f>
        <v>StyleRevolution</v>
      </c>
      <c r="E85" s="28" t="n">
        <f aca="false">INDEX(Data_Posts!$P$2:$P$301,MATCH(A85,Data_Posts!$A$2:$A$301,0))</f>
        <v>0.0918977705274606</v>
      </c>
      <c r="F85" s="26" t="n">
        <f aca="false">INDEX(Data_Posts!$K$2:$K$301,MATCH(A85,Data_Posts!$A$2:$A$301,0))</f>
        <v>123</v>
      </c>
    </row>
    <row r="86" customFormat="false" ht="15" hidden="false" customHeight="false" outlineLevel="0" collapsed="false">
      <c r="A86" s="26" t="s">
        <v>160</v>
      </c>
      <c r="B86" s="26" t="s">
        <v>36</v>
      </c>
      <c r="C86" s="26" t="s">
        <v>64</v>
      </c>
      <c r="D86" s="26" t="str">
        <f aca="false">INDEX(Data_Posts!$N$2:$N$301,MATCH(A86,Data_Posts!$A$2:$A$301,0))</f>
        <v>EndOfSeasonSale</v>
      </c>
      <c r="E86" s="28" t="n">
        <f aca="false">INDEX(Data_Posts!$P$2:$P$301,MATCH(A86,Data_Posts!$A$2:$A$301,0))</f>
        <v>0.129361846571623</v>
      </c>
      <c r="F86" s="26" t="n">
        <f aca="false">INDEX(Data_Posts!$K$2:$K$301,MATCH(A86,Data_Posts!$A$2:$A$301,0))</f>
        <v>60</v>
      </c>
    </row>
    <row r="87" customFormat="false" ht="15" hidden="false" customHeight="false" outlineLevel="0" collapsed="false">
      <c r="A87" s="26" t="s">
        <v>160</v>
      </c>
      <c r="B87" s="26" t="s">
        <v>36</v>
      </c>
      <c r="C87" s="26" t="s">
        <v>60</v>
      </c>
      <c r="D87" s="26" t="str">
        <f aca="false">INDEX(Data_Posts!$N$2:$N$301,MATCH(A87,Data_Posts!$A$2:$A$301,0))</f>
        <v>EndOfSeasonSale</v>
      </c>
      <c r="E87" s="28" t="n">
        <f aca="false">INDEX(Data_Posts!$P$2:$P$301,MATCH(A87,Data_Posts!$A$2:$A$301,0))</f>
        <v>0.129361846571623</v>
      </c>
      <c r="F87" s="26" t="n">
        <f aca="false">INDEX(Data_Posts!$K$2:$K$301,MATCH(A87,Data_Posts!$A$2:$A$301,0))</f>
        <v>60</v>
      </c>
    </row>
    <row r="88" customFormat="false" ht="15" hidden="false" customHeight="false" outlineLevel="0" collapsed="false">
      <c r="A88" s="26" t="s">
        <v>161</v>
      </c>
      <c r="B88" s="26" t="s">
        <v>38</v>
      </c>
      <c r="C88" s="26" t="s">
        <v>64</v>
      </c>
      <c r="D88" s="26" t="str">
        <f aca="false">INDEX(Data_Posts!$N$2:$N$301,MATCH(A88,Data_Posts!$A$2:$A$301,0))</f>
        <v>EndOfSeasonSale</v>
      </c>
      <c r="E88" s="28" t="n">
        <f aca="false">INDEX(Data_Posts!$P$2:$P$301,MATCH(A88,Data_Posts!$A$2:$A$301,0))</f>
        <v>0.0808628318584071</v>
      </c>
      <c r="F88" s="26" t="n">
        <f aca="false">INDEX(Data_Posts!$K$2:$K$301,MATCH(A88,Data_Posts!$A$2:$A$301,0))</f>
        <v>169</v>
      </c>
    </row>
    <row r="89" customFormat="false" ht="15" hidden="false" customHeight="false" outlineLevel="0" collapsed="false">
      <c r="A89" s="26" t="s">
        <v>162</v>
      </c>
      <c r="B89" s="26" t="s">
        <v>37</v>
      </c>
      <c r="C89" s="26" t="s">
        <v>62</v>
      </c>
      <c r="D89" s="26" t="str">
        <f aca="false">INDEX(Data_Posts!$N$2:$N$301,MATCH(A89,Data_Posts!$A$2:$A$301,0))</f>
        <v>MyntraFestiveEdit</v>
      </c>
      <c r="E89" s="28" t="n">
        <f aca="false">INDEX(Data_Posts!$P$2:$P$301,MATCH(A89,Data_Posts!$A$2:$A$301,0))</f>
        <v>0.866019417475728</v>
      </c>
      <c r="F89" s="26" t="n">
        <f aca="false">INDEX(Data_Posts!$K$2:$K$301,MATCH(A89,Data_Posts!$A$2:$A$301,0))</f>
        <v>262</v>
      </c>
    </row>
    <row r="90" customFormat="false" ht="15" hidden="false" customHeight="false" outlineLevel="0" collapsed="false">
      <c r="A90" s="26" t="s">
        <v>163</v>
      </c>
      <c r="B90" s="26" t="s">
        <v>37</v>
      </c>
      <c r="C90" s="26" t="s">
        <v>60</v>
      </c>
      <c r="D90" s="26" t="str">
        <f aca="false">INDEX(Data_Posts!$N$2:$N$301,MATCH(A90,Data_Posts!$A$2:$A$301,0))</f>
        <v>FashionUpgrade</v>
      </c>
      <c r="E90" s="28" t="n">
        <f aca="false">INDEX(Data_Posts!$P$2:$P$301,MATCH(A90,Data_Posts!$A$2:$A$301,0))</f>
        <v>0.0927260812581914</v>
      </c>
      <c r="F90" s="26" t="n">
        <f aca="false">INDEX(Data_Posts!$K$2:$K$301,MATCH(A90,Data_Posts!$A$2:$A$301,0))</f>
        <v>174</v>
      </c>
    </row>
    <row r="91" customFormat="false" ht="15" hidden="false" customHeight="false" outlineLevel="0" collapsed="false">
      <c r="A91" s="26" t="s">
        <v>164</v>
      </c>
      <c r="B91" s="26" t="s">
        <v>37</v>
      </c>
      <c r="C91" s="26" t="s">
        <v>64</v>
      </c>
      <c r="D91" s="26" t="str">
        <f aca="false">INDEX(Data_Posts!$N$2:$N$301,MATCH(A91,Data_Posts!$A$2:$A$301,0))</f>
        <v>FashionUpgrade</v>
      </c>
      <c r="E91" s="28" t="n">
        <f aca="false">INDEX(Data_Posts!$P$2:$P$301,MATCH(A91,Data_Posts!$A$2:$A$301,0))</f>
        <v>0.165078284547311</v>
      </c>
      <c r="F91" s="26" t="n">
        <f aca="false">INDEX(Data_Posts!$K$2:$K$301,MATCH(A91,Data_Posts!$A$2:$A$301,0))</f>
        <v>84</v>
      </c>
    </row>
    <row r="92" customFormat="false" ht="15" hidden="false" customHeight="false" outlineLevel="0" collapsed="false">
      <c r="A92" s="26" t="s">
        <v>165</v>
      </c>
      <c r="B92" s="26" t="s">
        <v>38</v>
      </c>
      <c r="C92" s="26" t="s">
        <v>61</v>
      </c>
      <c r="D92" s="26" t="str">
        <f aca="false">INDEX(Data_Posts!$N$2:$N$301,MATCH(A92,Data_Posts!$A$2:$A$301,0))</f>
        <v>FashionUpgrade</v>
      </c>
      <c r="E92" s="28" t="n">
        <f aca="false">INDEX(Data_Posts!$P$2:$P$301,MATCH(A92,Data_Posts!$A$2:$A$301,0))</f>
        <v>0.142766180015464</v>
      </c>
      <c r="F92" s="26" t="n">
        <f aca="false">INDEX(Data_Posts!$K$2:$K$301,MATCH(A92,Data_Posts!$A$2:$A$301,0))</f>
        <v>65</v>
      </c>
    </row>
    <row r="93" customFormat="false" ht="15" hidden="false" customHeight="false" outlineLevel="0" collapsed="false">
      <c r="A93" s="26" t="s">
        <v>166</v>
      </c>
      <c r="B93" s="26" t="s">
        <v>38</v>
      </c>
      <c r="C93" s="26" t="s">
        <v>60</v>
      </c>
      <c r="D93" s="26" t="str">
        <f aca="false">INDEX(Data_Posts!$N$2:$N$301,MATCH(A93,Data_Posts!$A$2:$A$301,0))</f>
        <v>MyntraFestiveEdit</v>
      </c>
      <c r="E93" s="28" t="n">
        <f aca="false">INDEX(Data_Posts!$P$2:$P$301,MATCH(A93,Data_Posts!$A$2:$A$301,0))</f>
        <v>0.537735849056604</v>
      </c>
      <c r="F93" s="26" t="n">
        <f aca="false">INDEX(Data_Posts!$K$2:$K$301,MATCH(A93,Data_Posts!$A$2:$A$301,0))</f>
        <v>148</v>
      </c>
    </row>
    <row r="94" customFormat="false" ht="15" hidden="false" customHeight="false" outlineLevel="0" collapsed="false">
      <c r="A94" s="26" t="s">
        <v>167</v>
      </c>
      <c r="B94" s="26" t="s">
        <v>38</v>
      </c>
      <c r="C94" s="26" t="s">
        <v>62</v>
      </c>
      <c r="D94" s="26" t="str">
        <f aca="false">INDEX(Data_Posts!$N$2:$N$301,MATCH(A94,Data_Posts!$A$2:$A$301,0))</f>
        <v>FashionUpgrade</v>
      </c>
      <c r="E94" s="28" t="n">
        <f aca="false">INDEX(Data_Posts!$P$2:$P$301,MATCH(A94,Data_Posts!$A$2:$A$301,0))</f>
        <v>0.0525515864211227</v>
      </c>
      <c r="F94" s="26" t="n">
        <f aca="false">INDEX(Data_Posts!$K$2:$K$301,MATCH(A94,Data_Posts!$A$2:$A$301,0))</f>
        <v>125</v>
      </c>
    </row>
    <row r="95" customFormat="false" ht="15" hidden="false" customHeight="false" outlineLevel="0" collapsed="false">
      <c r="A95" s="26" t="s">
        <v>168</v>
      </c>
      <c r="B95" s="26" t="s">
        <v>36</v>
      </c>
      <c r="C95" s="26" t="s">
        <v>60</v>
      </c>
      <c r="D95" s="26" t="str">
        <f aca="false">INDEX(Data_Posts!$N$2:$N$301,MATCH(A95,Data_Posts!$A$2:$A$301,0))</f>
        <v>EndOfSeasonSale</v>
      </c>
      <c r="E95" s="28" t="n">
        <f aca="false">INDEX(Data_Posts!$P$2:$P$301,MATCH(A95,Data_Posts!$A$2:$A$301,0))</f>
        <v>0.0820477183229094</v>
      </c>
      <c r="F95" s="26" t="n">
        <f aca="false">INDEX(Data_Posts!$K$2:$K$301,MATCH(A95,Data_Posts!$A$2:$A$301,0))</f>
        <v>75</v>
      </c>
    </row>
    <row r="96" customFormat="false" ht="15" hidden="false" customHeight="false" outlineLevel="0" collapsed="false">
      <c r="A96" s="26" t="s">
        <v>168</v>
      </c>
      <c r="B96" s="26" t="s">
        <v>36</v>
      </c>
      <c r="C96" s="26" t="s">
        <v>63</v>
      </c>
      <c r="D96" s="26" t="str">
        <f aca="false">INDEX(Data_Posts!$N$2:$N$301,MATCH(A96,Data_Posts!$A$2:$A$301,0))</f>
        <v>EndOfSeasonSale</v>
      </c>
      <c r="E96" s="28" t="n">
        <f aca="false">INDEX(Data_Posts!$P$2:$P$301,MATCH(A96,Data_Posts!$A$2:$A$301,0))</f>
        <v>0.0820477183229094</v>
      </c>
      <c r="F96" s="26" t="n">
        <f aca="false">INDEX(Data_Posts!$K$2:$K$301,MATCH(A96,Data_Posts!$A$2:$A$301,0))</f>
        <v>75</v>
      </c>
    </row>
    <row r="97" customFormat="false" ht="15" hidden="false" customHeight="false" outlineLevel="0" collapsed="false">
      <c r="A97" s="26" t="s">
        <v>169</v>
      </c>
      <c r="B97" s="26" t="s">
        <v>37</v>
      </c>
      <c r="C97" s="26" t="s">
        <v>60</v>
      </c>
      <c r="D97" s="26" t="str">
        <f aca="false">INDEX(Data_Posts!$N$2:$N$301,MATCH(A97,Data_Posts!$A$2:$A$301,0))</f>
        <v>EndOfSeasonSale</v>
      </c>
      <c r="E97" s="28" t="n">
        <f aca="false">INDEX(Data_Posts!$P$2:$P$301,MATCH(A97,Data_Posts!$A$2:$A$301,0))</f>
        <v>0.119907206031608</v>
      </c>
      <c r="F97" s="26" t="n">
        <f aca="false">INDEX(Data_Posts!$K$2:$K$301,MATCH(A97,Data_Posts!$A$2:$A$301,0))</f>
        <v>289</v>
      </c>
    </row>
    <row r="98" customFormat="false" ht="15" hidden="false" customHeight="false" outlineLevel="0" collapsed="false">
      <c r="A98" s="26" t="s">
        <v>170</v>
      </c>
      <c r="B98" s="26" t="s">
        <v>38</v>
      </c>
      <c r="C98" s="26" t="s">
        <v>61</v>
      </c>
      <c r="D98" s="26" t="str">
        <f aca="false">INDEX(Data_Posts!$N$2:$N$301,MATCH(A98,Data_Posts!$A$2:$A$301,0))</f>
        <v>MyntraFestiveEdit</v>
      </c>
      <c r="E98" s="28" t="n">
        <f aca="false">INDEX(Data_Posts!$P$2:$P$301,MATCH(A98,Data_Posts!$A$2:$A$301,0))</f>
        <v>0.291997354497355</v>
      </c>
      <c r="F98" s="26" t="n">
        <f aca="false">INDEX(Data_Posts!$K$2:$K$301,MATCH(A98,Data_Posts!$A$2:$A$301,0))</f>
        <v>184</v>
      </c>
    </row>
    <row r="99" customFormat="false" ht="15" hidden="false" customHeight="false" outlineLevel="0" collapsed="false">
      <c r="A99" s="26" t="s">
        <v>171</v>
      </c>
      <c r="B99" s="26" t="s">
        <v>36</v>
      </c>
      <c r="C99" s="26" t="s">
        <v>60</v>
      </c>
      <c r="D99" s="26" t="str">
        <f aca="false">INDEX(Data_Posts!$N$2:$N$301,MATCH(A99,Data_Posts!$A$2:$A$301,0))</f>
        <v>FashionUpgrade</v>
      </c>
      <c r="E99" s="28" t="n">
        <f aca="false">INDEX(Data_Posts!$P$2:$P$301,MATCH(A99,Data_Posts!$A$2:$A$301,0))</f>
        <v>0.0637497641954348</v>
      </c>
      <c r="F99" s="26" t="n">
        <f aca="false">INDEX(Data_Posts!$K$2:$K$301,MATCH(A99,Data_Posts!$A$2:$A$301,0))</f>
        <v>100</v>
      </c>
    </row>
    <row r="100" customFormat="false" ht="15" hidden="false" customHeight="false" outlineLevel="0" collapsed="false">
      <c r="A100" s="26" t="s">
        <v>172</v>
      </c>
      <c r="B100" s="26" t="s">
        <v>37</v>
      </c>
      <c r="C100" s="26" t="s">
        <v>61</v>
      </c>
      <c r="D100" s="26" t="str">
        <f aca="false">INDEX(Data_Posts!$N$2:$N$301,MATCH(A100,Data_Posts!$A$2:$A$301,0))</f>
        <v>FashionUpgrade</v>
      </c>
      <c r="E100" s="28" t="n">
        <f aca="false">INDEX(Data_Posts!$P$2:$P$301,MATCH(A100,Data_Posts!$A$2:$A$301,0))</f>
        <v>0.193103448275862</v>
      </c>
      <c r="F100" s="26" t="n">
        <f aca="false">INDEX(Data_Posts!$K$2:$K$301,MATCH(A100,Data_Posts!$A$2:$A$301,0))</f>
        <v>73</v>
      </c>
    </row>
    <row r="101" customFormat="false" ht="15" hidden="false" customHeight="false" outlineLevel="0" collapsed="false">
      <c r="A101" s="26" t="s">
        <v>173</v>
      </c>
      <c r="B101" s="26" t="s">
        <v>38</v>
      </c>
      <c r="C101" s="26" t="s">
        <v>64</v>
      </c>
      <c r="D101" s="26" t="str">
        <f aca="false">INDEX(Data_Posts!$N$2:$N$301,MATCH(A101,Data_Posts!$A$2:$A$301,0))</f>
        <v>StyleRevolution</v>
      </c>
      <c r="E101" s="28" t="n">
        <f aca="false">INDEX(Data_Posts!$P$2:$P$301,MATCH(A101,Data_Posts!$A$2:$A$301,0))</f>
        <v>0.093421052631579</v>
      </c>
      <c r="F101" s="26" t="n">
        <f aca="false">INDEX(Data_Posts!$K$2:$K$301,MATCH(A101,Data_Posts!$A$2:$A$301,0))</f>
        <v>149</v>
      </c>
    </row>
    <row r="102" customFormat="false" ht="15" hidden="false" customHeight="false" outlineLevel="0" collapsed="false">
      <c r="A102" s="26" t="s">
        <v>173</v>
      </c>
      <c r="B102" s="26" t="s">
        <v>38</v>
      </c>
      <c r="C102" s="26" t="s">
        <v>63</v>
      </c>
      <c r="D102" s="26" t="str">
        <f aca="false">INDEX(Data_Posts!$N$2:$N$301,MATCH(A102,Data_Posts!$A$2:$A$301,0))</f>
        <v>StyleRevolution</v>
      </c>
      <c r="E102" s="28" t="n">
        <f aca="false">INDEX(Data_Posts!$P$2:$P$301,MATCH(A102,Data_Posts!$A$2:$A$301,0))</f>
        <v>0.093421052631579</v>
      </c>
      <c r="F102" s="26" t="n">
        <f aca="false">INDEX(Data_Posts!$K$2:$K$301,MATCH(A102,Data_Posts!$A$2:$A$301,0))</f>
        <v>149</v>
      </c>
    </row>
    <row r="103" customFormat="false" ht="15" hidden="false" customHeight="false" outlineLevel="0" collapsed="false">
      <c r="A103" s="26" t="s">
        <v>174</v>
      </c>
      <c r="B103" s="26" t="s">
        <v>36</v>
      </c>
      <c r="C103" s="26" t="s">
        <v>63</v>
      </c>
      <c r="D103" s="26" t="str">
        <f aca="false">INDEX(Data_Posts!$N$2:$N$301,MATCH(A103,Data_Posts!$A$2:$A$301,0))</f>
        <v>FashionUpgrade</v>
      </c>
      <c r="E103" s="28" t="n">
        <f aca="false">INDEX(Data_Posts!$P$2:$P$301,MATCH(A103,Data_Posts!$A$2:$A$301,0))</f>
        <v>0.382747068676717</v>
      </c>
      <c r="F103" s="26" t="n">
        <f aca="false">INDEX(Data_Posts!$K$2:$K$301,MATCH(A103,Data_Posts!$A$2:$A$301,0))</f>
        <v>43</v>
      </c>
    </row>
    <row r="104" customFormat="false" ht="15" hidden="false" customHeight="false" outlineLevel="0" collapsed="false">
      <c r="A104" s="26" t="s">
        <v>175</v>
      </c>
      <c r="B104" s="26" t="s">
        <v>39</v>
      </c>
      <c r="C104" s="26" t="s">
        <v>62</v>
      </c>
      <c r="D104" s="26" t="str">
        <f aca="false">INDEX(Data_Posts!$N$2:$N$301,MATCH(A104,Data_Posts!$A$2:$A$301,0))</f>
        <v>EndOfSeasonSale</v>
      </c>
      <c r="E104" s="28" t="n">
        <f aca="false">INDEX(Data_Posts!$P$2:$P$301,MATCH(A104,Data_Posts!$A$2:$A$301,0))</f>
        <v>0.119920292695675</v>
      </c>
      <c r="F104" s="26" t="n">
        <f aca="false">INDEX(Data_Posts!$K$2:$K$301,MATCH(A104,Data_Posts!$A$2:$A$301,0))</f>
        <v>227</v>
      </c>
    </row>
    <row r="105" customFormat="false" ht="15" hidden="false" customHeight="false" outlineLevel="0" collapsed="false">
      <c r="A105" s="26" t="s">
        <v>175</v>
      </c>
      <c r="B105" s="26" t="s">
        <v>39</v>
      </c>
      <c r="C105" s="26" t="s">
        <v>60</v>
      </c>
      <c r="D105" s="26" t="str">
        <f aca="false">INDEX(Data_Posts!$N$2:$N$301,MATCH(A105,Data_Posts!$A$2:$A$301,0))</f>
        <v>EndOfSeasonSale</v>
      </c>
      <c r="E105" s="28" t="n">
        <f aca="false">INDEX(Data_Posts!$P$2:$P$301,MATCH(A105,Data_Posts!$A$2:$A$301,0))</f>
        <v>0.119920292695675</v>
      </c>
      <c r="F105" s="26" t="n">
        <f aca="false">INDEX(Data_Posts!$K$2:$K$301,MATCH(A105,Data_Posts!$A$2:$A$301,0))</f>
        <v>227</v>
      </c>
    </row>
    <row r="106" customFormat="false" ht="15" hidden="false" customHeight="false" outlineLevel="0" collapsed="false">
      <c r="A106" s="26" t="s">
        <v>176</v>
      </c>
      <c r="B106" s="26" t="s">
        <v>39</v>
      </c>
      <c r="C106" s="26" t="s">
        <v>63</v>
      </c>
      <c r="D106" s="26" t="str">
        <f aca="false">INDEX(Data_Posts!$N$2:$N$301,MATCH(A106,Data_Posts!$A$2:$A$301,0))</f>
        <v>StyleRevolution</v>
      </c>
      <c r="E106" s="28" t="n">
        <f aca="false">INDEX(Data_Posts!$P$2:$P$301,MATCH(A106,Data_Posts!$A$2:$A$301,0))</f>
        <v>0.088371266002845</v>
      </c>
      <c r="F106" s="26" t="n">
        <f aca="false">INDEX(Data_Posts!$K$2:$K$301,MATCH(A106,Data_Posts!$A$2:$A$301,0))</f>
        <v>88</v>
      </c>
    </row>
    <row r="107" customFormat="false" ht="15" hidden="false" customHeight="false" outlineLevel="0" collapsed="false">
      <c r="A107" s="26" t="s">
        <v>177</v>
      </c>
      <c r="B107" s="26" t="s">
        <v>36</v>
      </c>
      <c r="C107" s="26" t="s">
        <v>61</v>
      </c>
      <c r="D107" s="26" t="str">
        <f aca="false">INDEX(Data_Posts!$N$2:$N$301,MATCH(A107,Data_Posts!$A$2:$A$301,0))</f>
        <v>FashionUpgrade</v>
      </c>
      <c r="E107" s="28" t="n">
        <f aca="false">INDEX(Data_Posts!$P$2:$P$301,MATCH(A107,Data_Posts!$A$2:$A$301,0))</f>
        <v>0.0642651223307906</v>
      </c>
      <c r="F107" s="26" t="n">
        <f aca="false">INDEX(Data_Posts!$K$2:$K$301,MATCH(A107,Data_Posts!$A$2:$A$301,0))</f>
        <v>88</v>
      </c>
    </row>
    <row r="108" customFormat="false" ht="15" hidden="false" customHeight="false" outlineLevel="0" collapsed="false">
      <c r="A108" s="26" t="s">
        <v>178</v>
      </c>
      <c r="B108" s="26" t="s">
        <v>39</v>
      </c>
      <c r="C108" s="26" t="s">
        <v>61</v>
      </c>
      <c r="D108" s="26" t="str">
        <f aca="false">INDEX(Data_Posts!$N$2:$N$301,MATCH(A108,Data_Posts!$A$2:$A$301,0))</f>
        <v>MyntraFestiveEdit</v>
      </c>
      <c r="E108" s="28" t="n">
        <f aca="false">INDEX(Data_Posts!$P$2:$P$301,MATCH(A108,Data_Posts!$A$2:$A$301,0))</f>
        <v>0.13351302785265</v>
      </c>
      <c r="F108" s="26" t="n">
        <f aca="false">INDEX(Data_Posts!$K$2:$K$301,MATCH(A108,Data_Posts!$A$2:$A$301,0))</f>
        <v>123</v>
      </c>
    </row>
    <row r="109" customFormat="false" ht="15" hidden="false" customHeight="false" outlineLevel="0" collapsed="false">
      <c r="A109" s="26" t="s">
        <v>179</v>
      </c>
      <c r="B109" s="26" t="s">
        <v>37</v>
      </c>
      <c r="C109" s="26" t="s">
        <v>64</v>
      </c>
      <c r="D109" s="26" t="str">
        <f aca="false">INDEX(Data_Posts!$N$2:$N$301,MATCH(A109,Data_Posts!$A$2:$A$301,0))</f>
        <v>MyntraFestiveEdit</v>
      </c>
      <c r="E109" s="28" t="n">
        <f aca="false">INDEX(Data_Posts!$P$2:$P$301,MATCH(A109,Data_Posts!$A$2:$A$301,0))</f>
        <v>0.121312379376896</v>
      </c>
      <c r="F109" s="26" t="n">
        <f aca="false">INDEX(Data_Posts!$K$2:$K$301,MATCH(A109,Data_Posts!$A$2:$A$301,0))</f>
        <v>255</v>
      </c>
    </row>
    <row r="110" customFormat="false" ht="15" hidden="false" customHeight="false" outlineLevel="0" collapsed="false">
      <c r="A110" s="26" t="s">
        <v>179</v>
      </c>
      <c r="B110" s="26" t="s">
        <v>37</v>
      </c>
      <c r="C110" s="26" t="s">
        <v>60</v>
      </c>
      <c r="D110" s="26" t="str">
        <f aca="false">INDEX(Data_Posts!$N$2:$N$301,MATCH(A110,Data_Posts!$A$2:$A$301,0))</f>
        <v>MyntraFestiveEdit</v>
      </c>
      <c r="E110" s="28" t="n">
        <f aca="false">INDEX(Data_Posts!$P$2:$P$301,MATCH(A110,Data_Posts!$A$2:$A$301,0))</f>
        <v>0.121312379376896</v>
      </c>
      <c r="F110" s="26" t="n">
        <f aca="false">INDEX(Data_Posts!$K$2:$K$301,MATCH(A110,Data_Posts!$A$2:$A$301,0))</f>
        <v>255</v>
      </c>
    </row>
    <row r="111" customFormat="false" ht="15" hidden="false" customHeight="false" outlineLevel="0" collapsed="false">
      <c r="A111" s="26" t="s">
        <v>180</v>
      </c>
      <c r="B111" s="26" t="s">
        <v>38</v>
      </c>
      <c r="C111" s="26" t="s">
        <v>62</v>
      </c>
      <c r="D111" s="26" t="str">
        <f aca="false">INDEX(Data_Posts!$N$2:$N$301,MATCH(A111,Data_Posts!$A$2:$A$301,0))</f>
        <v>StyleRevolution</v>
      </c>
      <c r="E111" s="28" t="n">
        <f aca="false">INDEX(Data_Posts!$P$2:$P$301,MATCH(A111,Data_Posts!$A$2:$A$301,0))</f>
        <v>0.0811775200713649</v>
      </c>
      <c r="F111" s="26" t="n">
        <f aca="false">INDEX(Data_Posts!$K$2:$K$301,MATCH(A111,Data_Posts!$A$2:$A$301,0))</f>
        <v>99</v>
      </c>
    </row>
    <row r="112" customFormat="false" ht="15" hidden="false" customHeight="false" outlineLevel="0" collapsed="false">
      <c r="A112" s="26" t="s">
        <v>180</v>
      </c>
      <c r="B112" s="26" t="s">
        <v>38</v>
      </c>
      <c r="C112" s="26" t="s">
        <v>61</v>
      </c>
      <c r="D112" s="26" t="str">
        <f aca="false">INDEX(Data_Posts!$N$2:$N$301,MATCH(A112,Data_Posts!$A$2:$A$301,0))</f>
        <v>StyleRevolution</v>
      </c>
      <c r="E112" s="28" t="n">
        <f aca="false">INDEX(Data_Posts!$P$2:$P$301,MATCH(A112,Data_Posts!$A$2:$A$301,0))</f>
        <v>0.0811775200713649</v>
      </c>
      <c r="F112" s="26" t="n">
        <f aca="false">INDEX(Data_Posts!$K$2:$K$301,MATCH(A112,Data_Posts!$A$2:$A$301,0))</f>
        <v>99</v>
      </c>
    </row>
    <row r="113" customFormat="false" ht="15" hidden="false" customHeight="false" outlineLevel="0" collapsed="false">
      <c r="A113" s="26" t="s">
        <v>181</v>
      </c>
      <c r="B113" s="26" t="s">
        <v>36</v>
      </c>
      <c r="C113" s="26" t="s">
        <v>61</v>
      </c>
      <c r="D113" s="26" t="str">
        <f aca="false">INDEX(Data_Posts!$N$2:$N$301,MATCH(A113,Data_Posts!$A$2:$A$301,0))</f>
        <v>MyntraFestiveEdit</v>
      </c>
      <c r="E113" s="28" t="n">
        <f aca="false">INDEX(Data_Posts!$P$2:$P$301,MATCH(A113,Data_Posts!$A$2:$A$301,0))</f>
        <v>0.204163330664532</v>
      </c>
      <c r="F113" s="26" t="n">
        <f aca="false">INDEX(Data_Posts!$K$2:$K$301,MATCH(A113,Data_Posts!$A$2:$A$301,0))</f>
        <v>63</v>
      </c>
    </row>
    <row r="114" customFormat="false" ht="15" hidden="false" customHeight="false" outlineLevel="0" collapsed="false">
      <c r="A114" s="26" t="s">
        <v>181</v>
      </c>
      <c r="B114" s="26" t="s">
        <v>36</v>
      </c>
      <c r="C114" s="26" t="s">
        <v>60</v>
      </c>
      <c r="D114" s="26" t="str">
        <f aca="false">INDEX(Data_Posts!$N$2:$N$301,MATCH(A114,Data_Posts!$A$2:$A$301,0))</f>
        <v>MyntraFestiveEdit</v>
      </c>
      <c r="E114" s="28" t="n">
        <f aca="false">INDEX(Data_Posts!$P$2:$P$301,MATCH(A114,Data_Posts!$A$2:$A$301,0))</f>
        <v>0.204163330664532</v>
      </c>
      <c r="F114" s="26" t="n">
        <f aca="false">INDEX(Data_Posts!$K$2:$K$301,MATCH(A114,Data_Posts!$A$2:$A$301,0))</f>
        <v>63</v>
      </c>
    </row>
    <row r="115" customFormat="false" ht="15" hidden="false" customHeight="false" outlineLevel="0" collapsed="false">
      <c r="A115" s="26" t="s">
        <v>182</v>
      </c>
      <c r="B115" s="26" t="s">
        <v>38</v>
      </c>
      <c r="C115" s="26" t="s">
        <v>63</v>
      </c>
      <c r="D115" s="26" t="str">
        <f aca="false">INDEX(Data_Posts!$N$2:$N$301,MATCH(A115,Data_Posts!$A$2:$A$301,0))</f>
        <v>MyntraFestiveEdit</v>
      </c>
      <c r="E115" s="28" t="n">
        <f aca="false">INDEX(Data_Posts!$P$2:$P$301,MATCH(A115,Data_Posts!$A$2:$A$301,0))</f>
        <v>0.0820754716981132</v>
      </c>
      <c r="F115" s="26" t="n">
        <f aca="false">INDEX(Data_Posts!$K$2:$K$301,MATCH(A115,Data_Posts!$A$2:$A$301,0))</f>
        <v>21</v>
      </c>
    </row>
    <row r="116" customFormat="false" ht="15" hidden="false" customHeight="false" outlineLevel="0" collapsed="false">
      <c r="A116" s="26" t="s">
        <v>183</v>
      </c>
      <c r="B116" s="26" t="s">
        <v>37</v>
      </c>
      <c r="C116" s="26" t="s">
        <v>62</v>
      </c>
      <c r="D116" s="26" t="str">
        <f aca="false">INDEX(Data_Posts!$N$2:$N$301,MATCH(A116,Data_Posts!$A$2:$A$301,0))</f>
        <v>MyntraFestiveEdit</v>
      </c>
      <c r="E116" s="28" t="n">
        <f aca="false">INDEX(Data_Posts!$P$2:$P$301,MATCH(A116,Data_Posts!$A$2:$A$301,0))</f>
        <v>0.0886069601845352</v>
      </c>
      <c r="F116" s="26" t="n">
        <f aca="false">INDEX(Data_Posts!$K$2:$K$301,MATCH(A116,Data_Posts!$A$2:$A$301,0))</f>
        <v>266</v>
      </c>
    </row>
    <row r="117" customFormat="false" ht="15" hidden="false" customHeight="false" outlineLevel="0" collapsed="false">
      <c r="A117" s="26" t="s">
        <v>183</v>
      </c>
      <c r="B117" s="26" t="s">
        <v>37</v>
      </c>
      <c r="C117" s="26" t="s">
        <v>63</v>
      </c>
      <c r="D117" s="26" t="str">
        <f aca="false">INDEX(Data_Posts!$N$2:$N$301,MATCH(A117,Data_Posts!$A$2:$A$301,0))</f>
        <v>MyntraFestiveEdit</v>
      </c>
      <c r="E117" s="28" t="n">
        <f aca="false">INDEX(Data_Posts!$P$2:$P$301,MATCH(A117,Data_Posts!$A$2:$A$301,0))</f>
        <v>0.0886069601845352</v>
      </c>
      <c r="F117" s="26" t="n">
        <f aca="false">INDEX(Data_Posts!$K$2:$K$301,MATCH(A117,Data_Posts!$A$2:$A$301,0))</f>
        <v>266</v>
      </c>
    </row>
    <row r="118" customFormat="false" ht="15" hidden="false" customHeight="false" outlineLevel="0" collapsed="false">
      <c r="A118" s="26" t="s">
        <v>184</v>
      </c>
      <c r="B118" s="26" t="s">
        <v>37</v>
      </c>
      <c r="C118" s="26" t="s">
        <v>60</v>
      </c>
      <c r="D118" s="26" t="str">
        <f aca="false">INDEX(Data_Posts!$N$2:$N$301,MATCH(A118,Data_Posts!$A$2:$A$301,0))</f>
        <v>EndOfSeasonSale</v>
      </c>
      <c r="E118" s="28" t="n">
        <f aca="false">INDEX(Data_Posts!$P$2:$P$301,MATCH(A118,Data_Posts!$A$2:$A$301,0))</f>
        <v>0.0775333483494757</v>
      </c>
      <c r="F118" s="26" t="n">
        <f aca="false">INDEX(Data_Posts!$K$2:$K$301,MATCH(A118,Data_Posts!$A$2:$A$301,0))</f>
        <v>28</v>
      </c>
    </row>
    <row r="119" customFormat="false" ht="15" hidden="false" customHeight="false" outlineLevel="0" collapsed="false">
      <c r="A119" s="26" t="s">
        <v>184</v>
      </c>
      <c r="B119" s="26" t="s">
        <v>37</v>
      </c>
      <c r="C119" s="26" t="s">
        <v>61</v>
      </c>
      <c r="D119" s="26" t="str">
        <f aca="false">INDEX(Data_Posts!$N$2:$N$301,MATCH(A119,Data_Posts!$A$2:$A$301,0))</f>
        <v>EndOfSeasonSale</v>
      </c>
      <c r="E119" s="28" t="n">
        <f aca="false">INDEX(Data_Posts!$P$2:$P$301,MATCH(A119,Data_Posts!$A$2:$A$301,0))</f>
        <v>0.0775333483494757</v>
      </c>
      <c r="F119" s="26" t="n">
        <f aca="false">INDEX(Data_Posts!$K$2:$K$301,MATCH(A119,Data_Posts!$A$2:$A$301,0))</f>
        <v>28</v>
      </c>
    </row>
    <row r="120" customFormat="false" ht="15" hidden="false" customHeight="false" outlineLevel="0" collapsed="false">
      <c r="A120" s="26" t="s">
        <v>185</v>
      </c>
      <c r="B120" s="26" t="s">
        <v>37</v>
      </c>
      <c r="C120" s="26" t="s">
        <v>63</v>
      </c>
      <c r="D120" s="26" t="str">
        <f aca="false">INDEX(Data_Posts!$N$2:$N$301,MATCH(A120,Data_Posts!$A$2:$A$301,0))</f>
        <v>MyntraFestiveEdit</v>
      </c>
      <c r="E120" s="28" t="n">
        <f aca="false">INDEX(Data_Posts!$P$2:$P$301,MATCH(A120,Data_Posts!$A$2:$A$301,0))</f>
        <v>0.0944132959551462</v>
      </c>
      <c r="F120" s="26" t="n">
        <f aca="false">INDEX(Data_Posts!$K$2:$K$301,MATCH(A120,Data_Posts!$A$2:$A$301,0))</f>
        <v>283</v>
      </c>
    </row>
    <row r="121" customFormat="false" ht="15" hidden="false" customHeight="false" outlineLevel="0" collapsed="false">
      <c r="A121" s="26" t="s">
        <v>185</v>
      </c>
      <c r="B121" s="26" t="s">
        <v>37</v>
      </c>
      <c r="C121" s="26" t="s">
        <v>62</v>
      </c>
      <c r="D121" s="26" t="str">
        <f aca="false">INDEX(Data_Posts!$N$2:$N$301,MATCH(A121,Data_Posts!$A$2:$A$301,0))</f>
        <v>MyntraFestiveEdit</v>
      </c>
      <c r="E121" s="28" t="n">
        <f aca="false">INDEX(Data_Posts!$P$2:$P$301,MATCH(A121,Data_Posts!$A$2:$A$301,0))</f>
        <v>0.0944132959551462</v>
      </c>
      <c r="F121" s="26" t="n">
        <f aca="false">INDEX(Data_Posts!$K$2:$K$301,MATCH(A121,Data_Posts!$A$2:$A$301,0))</f>
        <v>283</v>
      </c>
    </row>
    <row r="122" customFormat="false" ht="15" hidden="false" customHeight="false" outlineLevel="0" collapsed="false">
      <c r="A122" s="26" t="s">
        <v>186</v>
      </c>
      <c r="B122" s="26" t="s">
        <v>37</v>
      </c>
      <c r="C122" s="26" t="s">
        <v>63</v>
      </c>
      <c r="D122" s="26" t="str">
        <f aca="false">INDEX(Data_Posts!$N$2:$N$301,MATCH(A122,Data_Posts!$A$2:$A$301,0))</f>
        <v>MyntraFestiveEdit</v>
      </c>
      <c r="E122" s="28" t="n">
        <f aca="false">INDEX(Data_Posts!$P$2:$P$301,MATCH(A122,Data_Posts!$A$2:$A$301,0))</f>
        <v>0.0855862068965517</v>
      </c>
      <c r="F122" s="26" t="n">
        <f aca="false">INDEX(Data_Posts!$K$2:$K$301,MATCH(A122,Data_Posts!$A$2:$A$301,0))</f>
        <v>200</v>
      </c>
    </row>
    <row r="123" customFormat="false" ht="15" hidden="false" customHeight="false" outlineLevel="0" collapsed="false">
      <c r="A123" s="26" t="s">
        <v>187</v>
      </c>
      <c r="B123" s="26" t="s">
        <v>39</v>
      </c>
      <c r="C123" s="26" t="s">
        <v>63</v>
      </c>
      <c r="D123" s="26" t="str">
        <f aca="false">INDEX(Data_Posts!$N$2:$N$301,MATCH(A123,Data_Posts!$A$2:$A$301,0))</f>
        <v>MyntraFestiveEdit</v>
      </c>
      <c r="E123" s="28" t="n">
        <f aca="false">INDEX(Data_Posts!$P$2:$P$301,MATCH(A123,Data_Posts!$A$2:$A$301,0))</f>
        <v>0.161182205971968</v>
      </c>
      <c r="F123" s="26" t="n">
        <f aca="false">INDEX(Data_Posts!$K$2:$K$301,MATCH(A123,Data_Posts!$A$2:$A$301,0))</f>
        <v>112</v>
      </c>
    </row>
    <row r="124" customFormat="false" ht="15" hidden="false" customHeight="false" outlineLevel="0" collapsed="false">
      <c r="A124" s="26" t="s">
        <v>187</v>
      </c>
      <c r="B124" s="26" t="s">
        <v>39</v>
      </c>
      <c r="C124" s="26" t="s">
        <v>64</v>
      </c>
      <c r="D124" s="26" t="str">
        <f aca="false">INDEX(Data_Posts!$N$2:$N$301,MATCH(A124,Data_Posts!$A$2:$A$301,0))</f>
        <v>MyntraFestiveEdit</v>
      </c>
      <c r="E124" s="28" t="n">
        <f aca="false">INDEX(Data_Posts!$P$2:$P$301,MATCH(A124,Data_Posts!$A$2:$A$301,0))</f>
        <v>0.161182205971968</v>
      </c>
      <c r="F124" s="26" t="n">
        <f aca="false">INDEX(Data_Posts!$K$2:$K$301,MATCH(A124,Data_Posts!$A$2:$A$301,0))</f>
        <v>112</v>
      </c>
    </row>
    <row r="125" customFormat="false" ht="15" hidden="false" customHeight="false" outlineLevel="0" collapsed="false">
      <c r="A125" s="26" t="s">
        <v>188</v>
      </c>
      <c r="B125" s="26" t="s">
        <v>36</v>
      </c>
      <c r="C125" s="26" t="s">
        <v>61</v>
      </c>
      <c r="D125" s="26" t="str">
        <f aca="false">INDEX(Data_Posts!$N$2:$N$301,MATCH(A125,Data_Posts!$A$2:$A$301,0))</f>
        <v>FashionUpgrade</v>
      </c>
      <c r="E125" s="28" t="n">
        <f aca="false">INDEX(Data_Posts!$P$2:$P$301,MATCH(A125,Data_Posts!$A$2:$A$301,0))</f>
        <v>0.0867377569398782</v>
      </c>
      <c r="F125" s="26" t="n">
        <f aca="false">INDEX(Data_Posts!$K$2:$K$301,MATCH(A125,Data_Posts!$A$2:$A$301,0))</f>
        <v>255</v>
      </c>
    </row>
    <row r="126" customFormat="false" ht="15" hidden="false" customHeight="false" outlineLevel="0" collapsed="false">
      <c r="A126" s="26" t="s">
        <v>188</v>
      </c>
      <c r="B126" s="26" t="s">
        <v>36</v>
      </c>
      <c r="C126" s="26" t="s">
        <v>60</v>
      </c>
      <c r="D126" s="26" t="str">
        <f aca="false">INDEX(Data_Posts!$N$2:$N$301,MATCH(A126,Data_Posts!$A$2:$A$301,0))</f>
        <v>FashionUpgrade</v>
      </c>
      <c r="E126" s="28" t="n">
        <f aca="false">INDEX(Data_Posts!$P$2:$P$301,MATCH(A126,Data_Posts!$A$2:$A$301,0))</f>
        <v>0.0867377569398782</v>
      </c>
      <c r="F126" s="26" t="n">
        <f aca="false">INDEX(Data_Posts!$K$2:$K$301,MATCH(A126,Data_Posts!$A$2:$A$301,0))</f>
        <v>255</v>
      </c>
    </row>
    <row r="127" customFormat="false" ht="15" hidden="false" customHeight="false" outlineLevel="0" collapsed="false">
      <c r="A127" s="26" t="s">
        <v>189</v>
      </c>
      <c r="B127" s="26" t="s">
        <v>37</v>
      </c>
      <c r="C127" s="26" t="s">
        <v>61</v>
      </c>
      <c r="D127" s="26" t="str">
        <f aca="false">INDEX(Data_Posts!$N$2:$N$301,MATCH(A127,Data_Posts!$A$2:$A$301,0))</f>
        <v>FashionUpgrade</v>
      </c>
      <c r="E127" s="28" t="n">
        <f aca="false">INDEX(Data_Posts!$P$2:$P$301,MATCH(A127,Data_Posts!$A$2:$A$301,0))</f>
        <v>0.191564919000878</v>
      </c>
      <c r="F127" s="26" t="n">
        <f aca="false">INDEX(Data_Posts!$K$2:$K$301,MATCH(A127,Data_Posts!$A$2:$A$301,0))</f>
        <v>230</v>
      </c>
    </row>
    <row r="128" customFormat="false" ht="15" hidden="false" customHeight="false" outlineLevel="0" collapsed="false">
      <c r="A128" s="26" t="s">
        <v>190</v>
      </c>
      <c r="B128" s="26" t="s">
        <v>39</v>
      </c>
      <c r="C128" s="26" t="s">
        <v>63</v>
      </c>
      <c r="D128" s="26" t="str">
        <f aca="false">INDEX(Data_Posts!$N$2:$N$301,MATCH(A128,Data_Posts!$A$2:$A$301,0))</f>
        <v>MyntraFestiveEdit</v>
      </c>
      <c r="E128" s="28" t="n">
        <f aca="false">INDEX(Data_Posts!$P$2:$P$301,MATCH(A128,Data_Posts!$A$2:$A$301,0))</f>
        <v>0.0655158212643284</v>
      </c>
      <c r="F128" s="26" t="n">
        <f aca="false">INDEX(Data_Posts!$K$2:$K$301,MATCH(A128,Data_Posts!$A$2:$A$301,0))</f>
        <v>242</v>
      </c>
    </row>
    <row r="129" customFormat="false" ht="15" hidden="false" customHeight="false" outlineLevel="0" collapsed="false">
      <c r="A129" s="26" t="s">
        <v>190</v>
      </c>
      <c r="B129" s="26" t="s">
        <v>39</v>
      </c>
      <c r="C129" s="26" t="s">
        <v>64</v>
      </c>
      <c r="D129" s="26" t="str">
        <f aca="false">INDEX(Data_Posts!$N$2:$N$301,MATCH(A129,Data_Posts!$A$2:$A$301,0))</f>
        <v>MyntraFestiveEdit</v>
      </c>
      <c r="E129" s="28" t="n">
        <f aca="false">INDEX(Data_Posts!$P$2:$P$301,MATCH(A129,Data_Posts!$A$2:$A$301,0))</f>
        <v>0.0655158212643284</v>
      </c>
      <c r="F129" s="26" t="n">
        <f aca="false">INDEX(Data_Posts!$K$2:$K$301,MATCH(A129,Data_Posts!$A$2:$A$301,0))</f>
        <v>242</v>
      </c>
    </row>
    <row r="130" customFormat="false" ht="15" hidden="false" customHeight="false" outlineLevel="0" collapsed="false">
      <c r="A130" s="26" t="s">
        <v>191</v>
      </c>
      <c r="B130" s="26" t="s">
        <v>38</v>
      </c>
      <c r="C130" s="26" t="s">
        <v>63</v>
      </c>
      <c r="D130" s="26" t="str">
        <f aca="false">INDEX(Data_Posts!$N$2:$N$301,MATCH(A130,Data_Posts!$A$2:$A$301,0))</f>
        <v>EndOfSeasonSale</v>
      </c>
      <c r="E130" s="28" t="n">
        <f aca="false">INDEX(Data_Posts!$P$2:$P$301,MATCH(A130,Data_Posts!$A$2:$A$301,0))</f>
        <v>0.208681522748375</v>
      </c>
      <c r="F130" s="26" t="n">
        <f aca="false">INDEX(Data_Posts!$K$2:$K$301,MATCH(A130,Data_Posts!$A$2:$A$301,0))</f>
        <v>197</v>
      </c>
    </row>
    <row r="131" customFormat="false" ht="15" hidden="false" customHeight="false" outlineLevel="0" collapsed="false">
      <c r="A131" s="26" t="s">
        <v>191</v>
      </c>
      <c r="B131" s="26" t="s">
        <v>38</v>
      </c>
      <c r="C131" s="26" t="s">
        <v>62</v>
      </c>
      <c r="D131" s="26" t="str">
        <f aca="false">INDEX(Data_Posts!$N$2:$N$301,MATCH(A131,Data_Posts!$A$2:$A$301,0))</f>
        <v>EndOfSeasonSale</v>
      </c>
      <c r="E131" s="28" t="n">
        <f aca="false">INDEX(Data_Posts!$P$2:$P$301,MATCH(A131,Data_Posts!$A$2:$A$301,0))</f>
        <v>0.208681522748375</v>
      </c>
      <c r="F131" s="26" t="n">
        <f aca="false">INDEX(Data_Posts!$K$2:$K$301,MATCH(A131,Data_Posts!$A$2:$A$301,0))</f>
        <v>197</v>
      </c>
    </row>
    <row r="132" customFormat="false" ht="15" hidden="false" customHeight="false" outlineLevel="0" collapsed="false">
      <c r="A132" s="26" t="s">
        <v>192</v>
      </c>
      <c r="B132" s="26" t="s">
        <v>36</v>
      </c>
      <c r="C132" s="26" t="s">
        <v>61</v>
      </c>
      <c r="D132" s="26" t="str">
        <f aca="false">INDEX(Data_Posts!$N$2:$N$301,MATCH(A132,Data_Posts!$A$2:$A$301,0))</f>
        <v>EndOfSeasonSale</v>
      </c>
      <c r="E132" s="28" t="n">
        <f aca="false">INDEX(Data_Posts!$P$2:$P$301,MATCH(A132,Data_Posts!$A$2:$A$301,0))</f>
        <v>0.135761589403974</v>
      </c>
      <c r="F132" s="26" t="n">
        <f aca="false">INDEX(Data_Posts!$K$2:$K$301,MATCH(A132,Data_Posts!$A$2:$A$301,0))</f>
        <v>25</v>
      </c>
    </row>
    <row r="133" customFormat="false" ht="15" hidden="false" customHeight="false" outlineLevel="0" collapsed="false">
      <c r="A133" s="26" t="s">
        <v>192</v>
      </c>
      <c r="B133" s="26" t="s">
        <v>36</v>
      </c>
      <c r="C133" s="26" t="s">
        <v>62</v>
      </c>
      <c r="D133" s="26" t="str">
        <f aca="false">INDEX(Data_Posts!$N$2:$N$301,MATCH(A133,Data_Posts!$A$2:$A$301,0))</f>
        <v>EndOfSeasonSale</v>
      </c>
      <c r="E133" s="28" t="n">
        <f aca="false">INDEX(Data_Posts!$P$2:$P$301,MATCH(A133,Data_Posts!$A$2:$A$301,0))</f>
        <v>0.135761589403974</v>
      </c>
      <c r="F133" s="26" t="n">
        <f aca="false">INDEX(Data_Posts!$K$2:$K$301,MATCH(A133,Data_Posts!$A$2:$A$301,0))</f>
        <v>25</v>
      </c>
    </row>
    <row r="134" customFormat="false" ht="15" hidden="false" customHeight="false" outlineLevel="0" collapsed="false">
      <c r="A134" s="26" t="s">
        <v>193</v>
      </c>
      <c r="B134" s="26" t="s">
        <v>38</v>
      </c>
      <c r="C134" s="26" t="s">
        <v>62</v>
      </c>
      <c r="D134" s="26" t="str">
        <f aca="false">INDEX(Data_Posts!$N$2:$N$301,MATCH(A134,Data_Posts!$A$2:$A$301,0))</f>
        <v>EndOfSeasonSale</v>
      </c>
      <c r="E134" s="28" t="n">
        <f aca="false">INDEX(Data_Posts!$P$2:$P$301,MATCH(A134,Data_Posts!$A$2:$A$301,0))</f>
        <v>0.168731449219254</v>
      </c>
      <c r="F134" s="26" t="n">
        <f aca="false">INDEX(Data_Posts!$K$2:$K$301,MATCH(A134,Data_Posts!$A$2:$A$301,0))</f>
        <v>180</v>
      </c>
    </row>
    <row r="135" customFormat="false" ht="15" hidden="false" customHeight="false" outlineLevel="0" collapsed="false">
      <c r="A135" s="26" t="s">
        <v>194</v>
      </c>
      <c r="B135" s="26" t="s">
        <v>37</v>
      </c>
      <c r="C135" s="26" t="s">
        <v>61</v>
      </c>
      <c r="D135" s="26" t="str">
        <f aca="false">INDEX(Data_Posts!$N$2:$N$301,MATCH(A135,Data_Posts!$A$2:$A$301,0))</f>
        <v>EndOfSeasonSale</v>
      </c>
      <c r="E135" s="28" t="n">
        <f aca="false">INDEX(Data_Posts!$P$2:$P$301,MATCH(A135,Data_Posts!$A$2:$A$301,0))</f>
        <v>0.070822181933293</v>
      </c>
      <c r="F135" s="26" t="n">
        <f aca="false">INDEX(Data_Posts!$K$2:$K$301,MATCH(A135,Data_Posts!$A$2:$A$301,0))</f>
        <v>297</v>
      </c>
    </row>
    <row r="136" customFormat="false" ht="15" hidden="false" customHeight="false" outlineLevel="0" collapsed="false">
      <c r="A136" s="26" t="s">
        <v>195</v>
      </c>
      <c r="B136" s="26" t="s">
        <v>36</v>
      </c>
      <c r="C136" s="26" t="s">
        <v>62</v>
      </c>
      <c r="D136" s="26" t="str">
        <f aca="false">INDEX(Data_Posts!$N$2:$N$301,MATCH(A136,Data_Posts!$A$2:$A$301,0))</f>
        <v>EndOfSeasonSale</v>
      </c>
      <c r="E136" s="28" t="n">
        <f aca="false">INDEX(Data_Posts!$P$2:$P$301,MATCH(A136,Data_Posts!$A$2:$A$301,0))</f>
        <v>0.0798495645288995</v>
      </c>
      <c r="F136" s="26" t="n">
        <f aca="false">INDEX(Data_Posts!$K$2:$K$301,MATCH(A136,Data_Posts!$A$2:$A$301,0))</f>
        <v>137</v>
      </c>
    </row>
    <row r="137" customFormat="false" ht="15" hidden="false" customHeight="false" outlineLevel="0" collapsed="false">
      <c r="A137" s="26" t="s">
        <v>196</v>
      </c>
      <c r="B137" s="26" t="s">
        <v>38</v>
      </c>
      <c r="C137" s="26" t="s">
        <v>64</v>
      </c>
      <c r="D137" s="26" t="str">
        <f aca="false">INDEX(Data_Posts!$N$2:$N$301,MATCH(A137,Data_Posts!$A$2:$A$301,0))</f>
        <v>StyleRevolution</v>
      </c>
      <c r="E137" s="28" t="n">
        <f aca="false">INDEX(Data_Posts!$P$2:$P$301,MATCH(A137,Data_Posts!$A$2:$A$301,0))</f>
        <v>0.135990528808208</v>
      </c>
      <c r="F137" s="26" t="n">
        <f aca="false">INDEX(Data_Posts!$K$2:$K$301,MATCH(A137,Data_Posts!$A$2:$A$301,0))</f>
        <v>236</v>
      </c>
    </row>
    <row r="138" customFormat="false" ht="15" hidden="false" customHeight="false" outlineLevel="0" collapsed="false">
      <c r="A138" s="26" t="s">
        <v>197</v>
      </c>
      <c r="B138" s="26" t="s">
        <v>37</v>
      </c>
      <c r="C138" s="26" t="s">
        <v>63</v>
      </c>
      <c r="D138" s="26" t="str">
        <f aca="false">INDEX(Data_Posts!$N$2:$N$301,MATCH(A138,Data_Posts!$A$2:$A$301,0))</f>
        <v>FashionUpgrade</v>
      </c>
      <c r="E138" s="28" t="n">
        <f aca="false">INDEX(Data_Posts!$P$2:$P$301,MATCH(A138,Data_Posts!$A$2:$A$301,0))</f>
        <v>0.280456557186117</v>
      </c>
      <c r="F138" s="26" t="n">
        <f aca="false">INDEX(Data_Posts!$K$2:$K$301,MATCH(A138,Data_Posts!$A$2:$A$301,0))</f>
        <v>150</v>
      </c>
    </row>
    <row r="139" customFormat="false" ht="15" hidden="false" customHeight="false" outlineLevel="0" collapsed="false">
      <c r="A139" s="26" t="s">
        <v>197</v>
      </c>
      <c r="B139" s="26" t="s">
        <v>37</v>
      </c>
      <c r="C139" s="26" t="s">
        <v>60</v>
      </c>
      <c r="D139" s="26" t="str">
        <f aca="false">INDEX(Data_Posts!$N$2:$N$301,MATCH(A139,Data_Posts!$A$2:$A$301,0))</f>
        <v>FashionUpgrade</v>
      </c>
      <c r="E139" s="28" t="n">
        <f aca="false">INDEX(Data_Posts!$P$2:$P$301,MATCH(A139,Data_Posts!$A$2:$A$301,0))</f>
        <v>0.280456557186117</v>
      </c>
      <c r="F139" s="26" t="n">
        <f aca="false">INDEX(Data_Posts!$K$2:$K$301,MATCH(A139,Data_Posts!$A$2:$A$301,0))</f>
        <v>150</v>
      </c>
    </row>
    <row r="140" customFormat="false" ht="15" hidden="false" customHeight="false" outlineLevel="0" collapsed="false">
      <c r="A140" s="26" t="s">
        <v>198</v>
      </c>
      <c r="B140" s="26" t="s">
        <v>37</v>
      </c>
      <c r="C140" s="26" t="s">
        <v>64</v>
      </c>
      <c r="D140" s="26" t="str">
        <f aca="false">INDEX(Data_Posts!$N$2:$N$301,MATCH(A140,Data_Posts!$A$2:$A$301,0))</f>
        <v>EndOfSeasonSale</v>
      </c>
      <c r="E140" s="28" t="n">
        <f aca="false">INDEX(Data_Posts!$P$2:$P$301,MATCH(A140,Data_Posts!$A$2:$A$301,0))</f>
        <v>0.168438663716337</v>
      </c>
      <c r="F140" s="26" t="n">
        <f aca="false">INDEX(Data_Posts!$K$2:$K$301,MATCH(A140,Data_Posts!$A$2:$A$301,0))</f>
        <v>46</v>
      </c>
    </row>
    <row r="141" customFormat="false" ht="15" hidden="false" customHeight="false" outlineLevel="0" collapsed="false">
      <c r="A141" s="26" t="s">
        <v>199</v>
      </c>
      <c r="B141" s="26" t="s">
        <v>37</v>
      </c>
      <c r="C141" s="26" t="s">
        <v>64</v>
      </c>
      <c r="D141" s="26" t="str">
        <f aca="false">INDEX(Data_Posts!$N$2:$N$301,MATCH(A141,Data_Posts!$A$2:$A$301,0))</f>
        <v>EndOfSeasonSale</v>
      </c>
      <c r="E141" s="28" t="n">
        <f aca="false">INDEX(Data_Posts!$P$2:$P$301,MATCH(A141,Data_Posts!$A$2:$A$301,0))</f>
        <v>0.0681088064808995</v>
      </c>
      <c r="F141" s="26" t="n">
        <f aca="false">INDEX(Data_Posts!$K$2:$K$301,MATCH(A141,Data_Posts!$A$2:$A$301,0))</f>
        <v>163</v>
      </c>
    </row>
    <row r="142" customFormat="false" ht="15" hidden="false" customHeight="false" outlineLevel="0" collapsed="false">
      <c r="A142" s="26" t="s">
        <v>199</v>
      </c>
      <c r="B142" s="26" t="s">
        <v>37</v>
      </c>
      <c r="C142" s="26" t="s">
        <v>63</v>
      </c>
      <c r="D142" s="26" t="str">
        <f aca="false">INDEX(Data_Posts!$N$2:$N$301,MATCH(A142,Data_Posts!$A$2:$A$301,0))</f>
        <v>EndOfSeasonSale</v>
      </c>
      <c r="E142" s="28" t="n">
        <f aca="false">INDEX(Data_Posts!$P$2:$P$301,MATCH(A142,Data_Posts!$A$2:$A$301,0))</f>
        <v>0.0681088064808995</v>
      </c>
      <c r="F142" s="26" t="n">
        <f aca="false">INDEX(Data_Posts!$K$2:$K$301,MATCH(A142,Data_Posts!$A$2:$A$301,0))</f>
        <v>163</v>
      </c>
    </row>
    <row r="143" customFormat="false" ht="15" hidden="false" customHeight="false" outlineLevel="0" collapsed="false">
      <c r="A143" s="26" t="s">
        <v>200</v>
      </c>
      <c r="B143" s="26" t="s">
        <v>38</v>
      </c>
      <c r="C143" s="26" t="s">
        <v>60</v>
      </c>
      <c r="D143" s="26" t="str">
        <f aca="false">INDEX(Data_Posts!$N$2:$N$301,MATCH(A143,Data_Posts!$A$2:$A$301,0))</f>
        <v>MyntraFestiveEdit</v>
      </c>
      <c r="E143" s="28" t="n">
        <f aca="false">INDEX(Data_Posts!$P$2:$P$301,MATCH(A143,Data_Posts!$A$2:$A$301,0))</f>
        <v>0.103392568659128</v>
      </c>
      <c r="F143" s="26" t="n">
        <f aca="false">INDEX(Data_Posts!$K$2:$K$301,MATCH(A143,Data_Posts!$A$2:$A$301,0))</f>
        <v>123</v>
      </c>
    </row>
    <row r="144" customFormat="false" ht="15" hidden="false" customHeight="false" outlineLevel="0" collapsed="false">
      <c r="A144" s="26" t="s">
        <v>201</v>
      </c>
      <c r="B144" s="26" t="s">
        <v>37</v>
      </c>
      <c r="C144" s="26" t="s">
        <v>64</v>
      </c>
      <c r="D144" s="26" t="str">
        <f aca="false">INDEX(Data_Posts!$N$2:$N$301,MATCH(A144,Data_Posts!$A$2:$A$301,0))</f>
        <v>EndOfSeasonSale</v>
      </c>
      <c r="E144" s="28" t="n">
        <f aca="false">INDEX(Data_Posts!$P$2:$P$301,MATCH(A144,Data_Posts!$A$2:$A$301,0))</f>
        <v>0.0876686090866298</v>
      </c>
      <c r="F144" s="26" t="n">
        <f aca="false">INDEX(Data_Posts!$K$2:$K$301,MATCH(A144,Data_Posts!$A$2:$A$301,0))</f>
        <v>36</v>
      </c>
    </row>
    <row r="145" customFormat="false" ht="15" hidden="false" customHeight="false" outlineLevel="0" collapsed="false">
      <c r="A145" s="26" t="s">
        <v>201</v>
      </c>
      <c r="B145" s="26" t="s">
        <v>37</v>
      </c>
      <c r="C145" s="26" t="s">
        <v>62</v>
      </c>
      <c r="D145" s="26" t="str">
        <f aca="false">INDEX(Data_Posts!$N$2:$N$301,MATCH(A145,Data_Posts!$A$2:$A$301,0))</f>
        <v>EndOfSeasonSale</v>
      </c>
      <c r="E145" s="28" t="n">
        <f aca="false">INDEX(Data_Posts!$P$2:$P$301,MATCH(A145,Data_Posts!$A$2:$A$301,0))</f>
        <v>0.0876686090866298</v>
      </c>
      <c r="F145" s="26" t="n">
        <f aca="false">INDEX(Data_Posts!$K$2:$K$301,MATCH(A145,Data_Posts!$A$2:$A$301,0))</f>
        <v>36</v>
      </c>
    </row>
    <row r="146" customFormat="false" ht="15" hidden="false" customHeight="false" outlineLevel="0" collapsed="false">
      <c r="A146" s="26" t="s">
        <v>202</v>
      </c>
      <c r="B146" s="26" t="s">
        <v>38</v>
      </c>
      <c r="C146" s="26" t="s">
        <v>64</v>
      </c>
      <c r="D146" s="26" t="str">
        <f aca="false">INDEX(Data_Posts!$N$2:$N$301,MATCH(A146,Data_Posts!$A$2:$A$301,0))</f>
        <v>MyntraFestiveEdit</v>
      </c>
      <c r="E146" s="28" t="n">
        <f aca="false">INDEX(Data_Posts!$P$2:$P$301,MATCH(A146,Data_Posts!$A$2:$A$301,0))</f>
        <v>0.112380952380952</v>
      </c>
      <c r="F146" s="26" t="n">
        <f aca="false">INDEX(Data_Posts!$K$2:$K$301,MATCH(A146,Data_Posts!$A$2:$A$301,0))</f>
        <v>17</v>
      </c>
    </row>
    <row r="147" customFormat="false" ht="15" hidden="false" customHeight="false" outlineLevel="0" collapsed="false">
      <c r="A147" s="26" t="s">
        <v>203</v>
      </c>
      <c r="B147" s="26" t="s">
        <v>39</v>
      </c>
      <c r="C147" s="26" t="s">
        <v>64</v>
      </c>
      <c r="D147" s="26" t="str">
        <f aca="false">INDEX(Data_Posts!$N$2:$N$301,MATCH(A147,Data_Posts!$A$2:$A$301,0))</f>
        <v>MyntraFestiveEdit</v>
      </c>
      <c r="E147" s="28" t="n">
        <f aca="false">INDEX(Data_Posts!$P$2:$P$301,MATCH(A147,Data_Posts!$A$2:$A$301,0))</f>
        <v>0.0720001198753297</v>
      </c>
      <c r="F147" s="26" t="n">
        <f aca="false">INDEX(Data_Posts!$K$2:$K$301,MATCH(A147,Data_Posts!$A$2:$A$301,0))</f>
        <v>173</v>
      </c>
    </row>
    <row r="148" customFormat="false" ht="15" hidden="false" customHeight="false" outlineLevel="0" collapsed="false">
      <c r="A148" s="26" t="s">
        <v>204</v>
      </c>
      <c r="B148" s="26" t="s">
        <v>39</v>
      </c>
      <c r="C148" s="26" t="s">
        <v>64</v>
      </c>
      <c r="D148" s="26" t="str">
        <f aca="false">INDEX(Data_Posts!$N$2:$N$301,MATCH(A148,Data_Posts!$A$2:$A$301,0))</f>
        <v>FashionUpgrade</v>
      </c>
      <c r="E148" s="28" t="n">
        <f aca="false">INDEX(Data_Posts!$P$2:$P$301,MATCH(A148,Data_Posts!$A$2:$A$301,0))</f>
        <v>0.0922989807474519</v>
      </c>
      <c r="F148" s="26" t="n">
        <f aca="false">INDEX(Data_Posts!$K$2:$K$301,MATCH(A148,Data_Posts!$A$2:$A$301,0))</f>
        <v>52</v>
      </c>
    </row>
    <row r="149" customFormat="false" ht="15" hidden="false" customHeight="false" outlineLevel="0" collapsed="false">
      <c r="A149" s="26" t="s">
        <v>205</v>
      </c>
      <c r="B149" s="26" t="s">
        <v>39</v>
      </c>
      <c r="C149" s="26" t="s">
        <v>62</v>
      </c>
      <c r="D149" s="26" t="str">
        <f aca="false">INDEX(Data_Posts!$N$2:$N$301,MATCH(A149,Data_Posts!$A$2:$A$301,0))</f>
        <v>EndOfSeasonSale</v>
      </c>
      <c r="E149" s="28" t="n">
        <f aca="false">INDEX(Data_Posts!$P$2:$P$301,MATCH(A149,Data_Posts!$A$2:$A$301,0))</f>
        <v>0.0737078651685393</v>
      </c>
      <c r="F149" s="26" t="n">
        <f aca="false">INDEX(Data_Posts!$K$2:$K$301,MATCH(A149,Data_Posts!$A$2:$A$301,0))</f>
        <v>12</v>
      </c>
    </row>
    <row r="150" customFormat="false" ht="15" hidden="false" customHeight="false" outlineLevel="0" collapsed="false">
      <c r="A150" s="26" t="s">
        <v>205</v>
      </c>
      <c r="B150" s="26" t="s">
        <v>39</v>
      </c>
      <c r="C150" s="26" t="s">
        <v>64</v>
      </c>
      <c r="D150" s="26" t="str">
        <f aca="false">INDEX(Data_Posts!$N$2:$N$301,MATCH(A150,Data_Posts!$A$2:$A$301,0))</f>
        <v>EndOfSeasonSale</v>
      </c>
      <c r="E150" s="28" t="n">
        <f aca="false">INDEX(Data_Posts!$P$2:$P$301,MATCH(A150,Data_Posts!$A$2:$A$301,0))</f>
        <v>0.0737078651685393</v>
      </c>
      <c r="F150" s="26" t="n">
        <f aca="false">INDEX(Data_Posts!$K$2:$K$301,MATCH(A150,Data_Posts!$A$2:$A$301,0))</f>
        <v>12</v>
      </c>
    </row>
    <row r="151" customFormat="false" ht="15" hidden="false" customHeight="false" outlineLevel="0" collapsed="false">
      <c r="A151" s="26" t="s">
        <v>206</v>
      </c>
      <c r="B151" s="26" t="s">
        <v>38</v>
      </c>
      <c r="C151" s="26" t="s">
        <v>63</v>
      </c>
      <c r="D151" s="26" t="str">
        <f aca="false">INDEX(Data_Posts!$N$2:$N$301,MATCH(A151,Data_Posts!$A$2:$A$301,0))</f>
        <v>MyntraFestiveEdit</v>
      </c>
      <c r="E151" s="28" t="n">
        <f aca="false">INDEX(Data_Posts!$P$2:$P$301,MATCH(A151,Data_Posts!$A$2:$A$301,0))</f>
        <v>0.356666666666667</v>
      </c>
      <c r="F151" s="26" t="n">
        <f aca="false">INDEX(Data_Posts!$K$2:$K$301,MATCH(A151,Data_Posts!$A$2:$A$301,0))</f>
        <v>223</v>
      </c>
    </row>
    <row r="152" customFormat="false" ht="15" hidden="false" customHeight="false" outlineLevel="0" collapsed="false">
      <c r="A152" s="26" t="s">
        <v>206</v>
      </c>
      <c r="B152" s="26" t="s">
        <v>38</v>
      </c>
      <c r="C152" s="26" t="s">
        <v>61</v>
      </c>
      <c r="D152" s="26" t="str">
        <f aca="false">INDEX(Data_Posts!$N$2:$N$301,MATCH(A152,Data_Posts!$A$2:$A$301,0))</f>
        <v>MyntraFestiveEdit</v>
      </c>
      <c r="E152" s="28" t="n">
        <f aca="false">INDEX(Data_Posts!$P$2:$P$301,MATCH(A152,Data_Posts!$A$2:$A$301,0))</f>
        <v>0.356666666666667</v>
      </c>
      <c r="F152" s="26" t="n">
        <f aca="false">INDEX(Data_Posts!$K$2:$K$301,MATCH(A152,Data_Posts!$A$2:$A$301,0))</f>
        <v>223</v>
      </c>
    </row>
    <row r="153" customFormat="false" ht="15" hidden="false" customHeight="false" outlineLevel="0" collapsed="false">
      <c r="A153" s="26" t="s">
        <v>207</v>
      </c>
      <c r="B153" s="26" t="s">
        <v>36</v>
      </c>
      <c r="C153" s="26" t="s">
        <v>63</v>
      </c>
      <c r="D153" s="26" t="str">
        <f aca="false">INDEX(Data_Posts!$N$2:$N$301,MATCH(A153,Data_Posts!$A$2:$A$301,0))</f>
        <v>FashionUpgrade</v>
      </c>
      <c r="E153" s="28" t="n">
        <f aca="false">INDEX(Data_Posts!$P$2:$P$301,MATCH(A153,Data_Posts!$A$2:$A$301,0))</f>
        <v>0.099632815002834</v>
      </c>
      <c r="F153" s="26" t="n">
        <f aca="false">INDEX(Data_Posts!$K$2:$K$301,MATCH(A153,Data_Posts!$A$2:$A$301,0))</f>
        <v>212</v>
      </c>
    </row>
    <row r="154" customFormat="false" ht="15" hidden="false" customHeight="false" outlineLevel="0" collapsed="false">
      <c r="A154" s="26" t="s">
        <v>208</v>
      </c>
      <c r="B154" s="26" t="s">
        <v>39</v>
      </c>
      <c r="C154" s="26" t="s">
        <v>63</v>
      </c>
      <c r="D154" s="26" t="str">
        <f aca="false">INDEX(Data_Posts!$N$2:$N$301,MATCH(A154,Data_Posts!$A$2:$A$301,0))</f>
        <v>StyleRevolution</v>
      </c>
      <c r="E154" s="28" t="n">
        <f aca="false">INDEX(Data_Posts!$P$2:$P$301,MATCH(A154,Data_Posts!$A$2:$A$301,0))</f>
        <v>0.137072503419973</v>
      </c>
      <c r="F154" s="26" t="n">
        <f aca="false">INDEX(Data_Posts!$K$2:$K$301,MATCH(A154,Data_Posts!$A$2:$A$301,0))</f>
        <v>199</v>
      </c>
    </row>
    <row r="155" customFormat="false" ht="15" hidden="false" customHeight="false" outlineLevel="0" collapsed="false">
      <c r="A155" s="26" t="s">
        <v>209</v>
      </c>
      <c r="B155" s="26" t="s">
        <v>37</v>
      </c>
      <c r="C155" s="26" t="s">
        <v>64</v>
      </c>
      <c r="D155" s="26" t="str">
        <f aca="false">INDEX(Data_Posts!$N$2:$N$301,MATCH(A155,Data_Posts!$A$2:$A$301,0))</f>
        <v>StyleRevolution</v>
      </c>
      <c r="E155" s="28" t="n">
        <f aca="false">INDEX(Data_Posts!$P$2:$P$301,MATCH(A155,Data_Posts!$A$2:$A$301,0))</f>
        <v>0.128960285586792</v>
      </c>
      <c r="F155" s="26" t="n">
        <f aca="false">INDEX(Data_Posts!$K$2:$K$301,MATCH(A155,Data_Posts!$A$2:$A$301,0))</f>
        <v>32</v>
      </c>
    </row>
    <row r="156" customFormat="false" ht="15" hidden="false" customHeight="false" outlineLevel="0" collapsed="false">
      <c r="A156" s="26" t="s">
        <v>209</v>
      </c>
      <c r="B156" s="26" t="s">
        <v>37</v>
      </c>
      <c r="C156" s="26" t="s">
        <v>60</v>
      </c>
      <c r="D156" s="26" t="str">
        <f aca="false">INDEX(Data_Posts!$N$2:$N$301,MATCH(A156,Data_Posts!$A$2:$A$301,0))</f>
        <v>StyleRevolution</v>
      </c>
      <c r="E156" s="28" t="n">
        <f aca="false">INDEX(Data_Posts!$P$2:$P$301,MATCH(A156,Data_Posts!$A$2:$A$301,0))</f>
        <v>0.128960285586792</v>
      </c>
      <c r="F156" s="26" t="n">
        <f aca="false">INDEX(Data_Posts!$K$2:$K$301,MATCH(A156,Data_Posts!$A$2:$A$301,0))</f>
        <v>32</v>
      </c>
    </row>
    <row r="157" customFormat="false" ht="15" hidden="false" customHeight="false" outlineLevel="0" collapsed="false">
      <c r="A157" s="26" t="s">
        <v>210</v>
      </c>
      <c r="B157" s="26" t="s">
        <v>37</v>
      </c>
      <c r="C157" s="26" t="s">
        <v>61</v>
      </c>
      <c r="D157" s="26" t="str">
        <f aca="false">INDEX(Data_Posts!$N$2:$N$301,MATCH(A157,Data_Posts!$A$2:$A$301,0))</f>
        <v>FashionUpgrade</v>
      </c>
      <c r="E157" s="28" t="n">
        <f aca="false">INDEX(Data_Posts!$P$2:$P$301,MATCH(A157,Data_Posts!$A$2:$A$301,0))</f>
        <v>0.0857184094681388</v>
      </c>
      <c r="F157" s="26" t="n">
        <f aca="false">INDEX(Data_Posts!$K$2:$K$301,MATCH(A157,Data_Posts!$A$2:$A$301,0))</f>
        <v>298</v>
      </c>
    </row>
    <row r="158" customFormat="false" ht="15" hidden="false" customHeight="false" outlineLevel="0" collapsed="false">
      <c r="A158" s="26" t="s">
        <v>211</v>
      </c>
      <c r="B158" s="26" t="s">
        <v>39</v>
      </c>
      <c r="C158" s="26" t="s">
        <v>62</v>
      </c>
      <c r="D158" s="26" t="str">
        <f aca="false">INDEX(Data_Posts!$N$2:$N$301,MATCH(A158,Data_Posts!$A$2:$A$301,0))</f>
        <v>MyntraFestiveEdit</v>
      </c>
      <c r="E158" s="28" t="n">
        <f aca="false">INDEX(Data_Posts!$P$2:$P$301,MATCH(A158,Data_Posts!$A$2:$A$301,0))</f>
        <v>0.0624673231090972</v>
      </c>
      <c r="F158" s="26" t="n">
        <f aca="false">INDEX(Data_Posts!$K$2:$K$301,MATCH(A158,Data_Posts!$A$2:$A$301,0))</f>
        <v>182</v>
      </c>
    </row>
    <row r="159" customFormat="false" ht="15" hidden="false" customHeight="false" outlineLevel="0" collapsed="false">
      <c r="A159" s="26" t="s">
        <v>211</v>
      </c>
      <c r="B159" s="26" t="s">
        <v>39</v>
      </c>
      <c r="C159" s="26" t="s">
        <v>64</v>
      </c>
      <c r="D159" s="26" t="str">
        <f aca="false">INDEX(Data_Posts!$N$2:$N$301,MATCH(A159,Data_Posts!$A$2:$A$301,0))</f>
        <v>MyntraFestiveEdit</v>
      </c>
      <c r="E159" s="28" t="n">
        <f aca="false">INDEX(Data_Posts!$P$2:$P$301,MATCH(A159,Data_Posts!$A$2:$A$301,0))</f>
        <v>0.0624673231090972</v>
      </c>
      <c r="F159" s="26" t="n">
        <f aca="false">INDEX(Data_Posts!$K$2:$K$301,MATCH(A159,Data_Posts!$A$2:$A$301,0))</f>
        <v>182</v>
      </c>
    </row>
    <row r="160" customFormat="false" ht="15" hidden="false" customHeight="false" outlineLevel="0" collapsed="false">
      <c r="A160" s="26" t="s">
        <v>212</v>
      </c>
      <c r="B160" s="26" t="s">
        <v>38</v>
      </c>
      <c r="C160" s="26" t="s">
        <v>64</v>
      </c>
      <c r="D160" s="26" t="str">
        <f aca="false">INDEX(Data_Posts!$N$2:$N$301,MATCH(A160,Data_Posts!$A$2:$A$301,0))</f>
        <v>FashionUpgrade</v>
      </c>
      <c r="E160" s="28" t="n">
        <f aca="false">INDEX(Data_Posts!$P$2:$P$301,MATCH(A160,Data_Posts!$A$2:$A$301,0))</f>
        <v>0.10005698005698</v>
      </c>
      <c r="F160" s="26" t="n">
        <f aca="false">INDEX(Data_Posts!$K$2:$K$301,MATCH(A160,Data_Posts!$A$2:$A$301,0))</f>
        <v>209</v>
      </c>
    </row>
    <row r="161" customFormat="false" ht="15" hidden="false" customHeight="false" outlineLevel="0" collapsed="false">
      <c r="A161" s="26" t="s">
        <v>212</v>
      </c>
      <c r="B161" s="26" t="s">
        <v>38</v>
      </c>
      <c r="C161" s="26" t="s">
        <v>60</v>
      </c>
      <c r="D161" s="26" t="str">
        <f aca="false">INDEX(Data_Posts!$N$2:$N$301,MATCH(A161,Data_Posts!$A$2:$A$301,0))</f>
        <v>FashionUpgrade</v>
      </c>
      <c r="E161" s="28" t="n">
        <f aca="false">INDEX(Data_Posts!$P$2:$P$301,MATCH(A161,Data_Posts!$A$2:$A$301,0))</f>
        <v>0.10005698005698</v>
      </c>
      <c r="F161" s="26" t="n">
        <f aca="false">INDEX(Data_Posts!$K$2:$K$301,MATCH(A161,Data_Posts!$A$2:$A$301,0))</f>
        <v>209</v>
      </c>
    </row>
    <row r="162" customFormat="false" ht="15" hidden="false" customHeight="false" outlineLevel="0" collapsed="false">
      <c r="A162" s="26" t="s">
        <v>213</v>
      </c>
      <c r="B162" s="26" t="s">
        <v>38</v>
      </c>
      <c r="C162" s="26" t="s">
        <v>61</v>
      </c>
      <c r="D162" s="26" t="str">
        <f aca="false">INDEX(Data_Posts!$N$2:$N$301,MATCH(A162,Data_Posts!$A$2:$A$301,0))</f>
        <v>FashionUpgrade</v>
      </c>
      <c r="E162" s="28" t="n">
        <f aca="false">INDEX(Data_Posts!$P$2:$P$301,MATCH(A162,Data_Posts!$A$2:$A$301,0))</f>
        <v>0.167443135105508</v>
      </c>
      <c r="F162" s="26" t="n">
        <f aca="false">INDEX(Data_Posts!$K$2:$K$301,MATCH(A162,Data_Posts!$A$2:$A$301,0))</f>
        <v>167</v>
      </c>
    </row>
    <row r="163" customFormat="false" ht="15" hidden="false" customHeight="false" outlineLevel="0" collapsed="false">
      <c r="A163" s="26" t="s">
        <v>213</v>
      </c>
      <c r="B163" s="26" t="s">
        <v>38</v>
      </c>
      <c r="C163" s="26" t="s">
        <v>64</v>
      </c>
      <c r="D163" s="26" t="str">
        <f aca="false">INDEX(Data_Posts!$N$2:$N$301,MATCH(A163,Data_Posts!$A$2:$A$301,0))</f>
        <v>FashionUpgrade</v>
      </c>
      <c r="E163" s="28" t="n">
        <f aca="false">INDEX(Data_Posts!$P$2:$P$301,MATCH(A163,Data_Posts!$A$2:$A$301,0))</f>
        <v>0.167443135105508</v>
      </c>
      <c r="F163" s="26" t="n">
        <f aca="false">INDEX(Data_Posts!$K$2:$K$301,MATCH(A163,Data_Posts!$A$2:$A$301,0))</f>
        <v>167</v>
      </c>
    </row>
    <row r="164" customFormat="false" ht="15" hidden="false" customHeight="false" outlineLevel="0" collapsed="false">
      <c r="A164" s="26" t="s">
        <v>214</v>
      </c>
      <c r="B164" s="26" t="s">
        <v>37</v>
      </c>
      <c r="C164" s="26" t="s">
        <v>60</v>
      </c>
      <c r="D164" s="26" t="str">
        <f aca="false">INDEX(Data_Posts!$N$2:$N$301,MATCH(A164,Data_Posts!$A$2:$A$301,0))</f>
        <v>EndOfSeasonSale</v>
      </c>
      <c r="E164" s="28" t="n">
        <f aca="false">INDEX(Data_Posts!$P$2:$P$301,MATCH(A164,Data_Posts!$A$2:$A$301,0))</f>
        <v>0.122777591412278</v>
      </c>
      <c r="F164" s="26" t="n">
        <f aca="false">INDEX(Data_Posts!$K$2:$K$301,MATCH(A164,Data_Posts!$A$2:$A$301,0))</f>
        <v>270</v>
      </c>
    </row>
    <row r="165" customFormat="false" ht="15" hidden="false" customHeight="false" outlineLevel="0" collapsed="false">
      <c r="A165" s="26" t="s">
        <v>214</v>
      </c>
      <c r="B165" s="26" t="s">
        <v>37</v>
      </c>
      <c r="C165" s="26" t="s">
        <v>64</v>
      </c>
      <c r="D165" s="26" t="str">
        <f aca="false">INDEX(Data_Posts!$N$2:$N$301,MATCH(A165,Data_Posts!$A$2:$A$301,0))</f>
        <v>EndOfSeasonSale</v>
      </c>
      <c r="E165" s="28" t="n">
        <f aca="false">INDEX(Data_Posts!$P$2:$P$301,MATCH(A165,Data_Posts!$A$2:$A$301,0))</f>
        <v>0.122777591412278</v>
      </c>
      <c r="F165" s="26" t="n">
        <f aca="false">INDEX(Data_Posts!$K$2:$K$301,MATCH(A165,Data_Posts!$A$2:$A$301,0))</f>
        <v>270</v>
      </c>
    </row>
    <row r="166" customFormat="false" ht="15" hidden="false" customHeight="false" outlineLevel="0" collapsed="false">
      <c r="A166" s="26" t="s">
        <v>215</v>
      </c>
      <c r="B166" s="26" t="s">
        <v>39</v>
      </c>
      <c r="C166" s="26" t="s">
        <v>61</v>
      </c>
      <c r="D166" s="26" t="str">
        <f aca="false">INDEX(Data_Posts!$N$2:$N$301,MATCH(A166,Data_Posts!$A$2:$A$301,0))</f>
        <v>MyntraFestiveEdit</v>
      </c>
      <c r="E166" s="28" t="n">
        <f aca="false">INDEX(Data_Posts!$P$2:$P$301,MATCH(A166,Data_Posts!$A$2:$A$301,0))</f>
        <v>0.0740713497609415</v>
      </c>
      <c r="F166" s="26" t="n">
        <f aca="false">INDEX(Data_Posts!$K$2:$K$301,MATCH(A166,Data_Posts!$A$2:$A$301,0))</f>
        <v>40</v>
      </c>
    </row>
    <row r="167" customFormat="false" ht="15" hidden="false" customHeight="false" outlineLevel="0" collapsed="false">
      <c r="A167" s="26" t="s">
        <v>215</v>
      </c>
      <c r="B167" s="26" t="s">
        <v>39</v>
      </c>
      <c r="C167" s="26" t="s">
        <v>64</v>
      </c>
      <c r="D167" s="26" t="str">
        <f aca="false">INDEX(Data_Posts!$N$2:$N$301,MATCH(A167,Data_Posts!$A$2:$A$301,0))</f>
        <v>MyntraFestiveEdit</v>
      </c>
      <c r="E167" s="28" t="n">
        <f aca="false">INDEX(Data_Posts!$P$2:$P$301,MATCH(A167,Data_Posts!$A$2:$A$301,0))</f>
        <v>0.0740713497609415</v>
      </c>
      <c r="F167" s="26" t="n">
        <f aca="false">INDEX(Data_Posts!$K$2:$K$301,MATCH(A167,Data_Posts!$A$2:$A$301,0))</f>
        <v>40</v>
      </c>
    </row>
    <row r="168" customFormat="false" ht="15" hidden="false" customHeight="false" outlineLevel="0" collapsed="false">
      <c r="A168" s="26" t="s">
        <v>216</v>
      </c>
      <c r="B168" s="26" t="s">
        <v>38</v>
      </c>
      <c r="C168" s="26" t="s">
        <v>61</v>
      </c>
      <c r="D168" s="26" t="str">
        <f aca="false">INDEX(Data_Posts!$N$2:$N$301,MATCH(A168,Data_Posts!$A$2:$A$301,0))</f>
        <v>MyntraFestiveEdit</v>
      </c>
      <c r="E168" s="28" t="n">
        <f aca="false">INDEX(Data_Posts!$P$2:$P$301,MATCH(A168,Data_Posts!$A$2:$A$301,0))</f>
        <v>0.174416624084483</v>
      </c>
      <c r="F168" s="26" t="n">
        <f aca="false">INDEX(Data_Posts!$K$2:$K$301,MATCH(A168,Data_Posts!$A$2:$A$301,0))</f>
        <v>297</v>
      </c>
    </row>
    <row r="169" customFormat="false" ht="15" hidden="false" customHeight="false" outlineLevel="0" collapsed="false">
      <c r="A169" s="26" t="s">
        <v>216</v>
      </c>
      <c r="B169" s="26" t="s">
        <v>38</v>
      </c>
      <c r="C169" s="26" t="s">
        <v>62</v>
      </c>
      <c r="D169" s="26" t="str">
        <f aca="false">INDEX(Data_Posts!$N$2:$N$301,MATCH(A169,Data_Posts!$A$2:$A$301,0))</f>
        <v>MyntraFestiveEdit</v>
      </c>
      <c r="E169" s="28" t="n">
        <f aca="false">INDEX(Data_Posts!$P$2:$P$301,MATCH(A169,Data_Posts!$A$2:$A$301,0))</f>
        <v>0.174416624084483</v>
      </c>
      <c r="F169" s="26" t="n">
        <f aca="false">INDEX(Data_Posts!$K$2:$K$301,MATCH(A169,Data_Posts!$A$2:$A$301,0))</f>
        <v>297</v>
      </c>
    </row>
    <row r="170" customFormat="false" ht="15" hidden="false" customHeight="false" outlineLevel="0" collapsed="false">
      <c r="A170" s="26" t="s">
        <v>217</v>
      </c>
      <c r="B170" s="26" t="s">
        <v>38</v>
      </c>
      <c r="C170" s="26" t="s">
        <v>63</v>
      </c>
      <c r="D170" s="26" t="str">
        <f aca="false">INDEX(Data_Posts!$N$2:$N$301,MATCH(A170,Data_Posts!$A$2:$A$301,0))</f>
        <v>StyleRevolution</v>
      </c>
      <c r="E170" s="28" t="n">
        <f aca="false">INDEX(Data_Posts!$P$2:$P$301,MATCH(A170,Data_Posts!$A$2:$A$301,0))</f>
        <v>0.113690880289658</v>
      </c>
      <c r="F170" s="26" t="n">
        <f aca="false">INDEX(Data_Posts!$K$2:$K$301,MATCH(A170,Data_Posts!$A$2:$A$301,0))</f>
        <v>10</v>
      </c>
    </row>
    <row r="171" customFormat="false" ht="15" hidden="false" customHeight="false" outlineLevel="0" collapsed="false">
      <c r="A171" s="26" t="s">
        <v>218</v>
      </c>
      <c r="B171" s="26" t="s">
        <v>38</v>
      </c>
      <c r="C171" s="26" t="s">
        <v>60</v>
      </c>
      <c r="D171" s="26" t="str">
        <f aca="false">INDEX(Data_Posts!$N$2:$N$301,MATCH(A171,Data_Posts!$A$2:$A$301,0))</f>
        <v>MyntraFestiveEdit</v>
      </c>
      <c r="E171" s="28" t="n">
        <f aca="false">INDEX(Data_Posts!$P$2:$P$301,MATCH(A171,Data_Posts!$A$2:$A$301,0))</f>
        <v>0.129425</v>
      </c>
      <c r="F171" s="26" t="n">
        <f aca="false">INDEX(Data_Posts!$K$2:$K$301,MATCH(A171,Data_Posts!$A$2:$A$301,0))</f>
        <v>44</v>
      </c>
    </row>
    <row r="172" customFormat="false" ht="15" hidden="false" customHeight="false" outlineLevel="0" collapsed="false">
      <c r="A172" s="26" t="s">
        <v>218</v>
      </c>
      <c r="B172" s="26" t="s">
        <v>38</v>
      </c>
      <c r="C172" s="26" t="s">
        <v>61</v>
      </c>
      <c r="D172" s="26" t="str">
        <f aca="false">INDEX(Data_Posts!$N$2:$N$301,MATCH(A172,Data_Posts!$A$2:$A$301,0))</f>
        <v>MyntraFestiveEdit</v>
      </c>
      <c r="E172" s="28" t="n">
        <f aca="false">INDEX(Data_Posts!$P$2:$P$301,MATCH(A172,Data_Posts!$A$2:$A$301,0))</f>
        <v>0.129425</v>
      </c>
      <c r="F172" s="26" t="n">
        <f aca="false">INDEX(Data_Posts!$K$2:$K$301,MATCH(A172,Data_Posts!$A$2:$A$301,0))</f>
        <v>44</v>
      </c>
    </row>
    <row r="173" customFormat="false" ht="15" hidden="false" customHeight="false" outlineLevel="0" collapsed="false">
      <c r="A173" s="26" t="s">
        <v>219</v>
      </c>
      <c r="B173" s="26" t="s">
        <v>38</v>
      </c>
      <c r="C173" s="26" t="s">
        <v>62</v>
      </c>
      <c r="D173" s="26" t="str">
        <f aca="false">INDEX(Data_Posts!$N$2:$N$301,MATCH(A173,Data_Posts!$A$2:$A$301,0))</f>
        <v>FashionUpgrade</v>
      </c>
      <c r="E173" s="28" t="n">
        <f aca="false">INDEX(Data_Posts!$P$2:$P$301,MATCH(A173,Data_Posts!$A$2:$A$301,0))</f>
        <v>0.0621504919657394</v>
      </c>
      <c r="F173" s="26" t="n">
        <f aca="false">INDEX(Data_Posts!$K$2:$K$301,MATCH(A173,Data_Posts!$A$2:$A$301,0))</f>
        <v>242</v>
      </c>
    </row>
    <row r="174" customFormat="false" ht="15" hidden="false" customHeight="false" outlineLevel="0" collapsed="false">
      <c r="A174" s="26" t="s">
        <v>219</v>
      </c>
      <c r="B174" s="26" t="s">
        <v>38</v>
      </c>
      <c r="C174" s="26" t="s">
        <v>64</v>
      </c>
      <c r="D174" s="26" t="str">
        <f aca="false">INDEX(Data_Posts!$N$2:$N$301,MATCH(A174,Data_Posts!$A$2:$A$301,0))</f>
        <v>FashionUpgrade</v>
      </c>
      <c r="E174" s="28" t="n">
        <f aca="false">INDEX(Data_Posts!$P$2:$P$301,MATCH(A174,Data_Posts!$A$2:$A$301,0))</f>
        <v>0.0621504919657394</v>
      </c>
      <c r="F174" s="26" t="n">
        <f aca="false">INDEX(Data_Posts!$K$2:$K$301,MATCH(A174,Data_Posts!$A$2:$A$301,0))</f>
        <v>242</v>
      </c>
    </row>
    <row r="175" customFormat="false" ht="15" hidden="false" customHeight="false" outlineLevel="0" collapsed="false">
      <c r="A175" s="26" t="s">
        <v>220</v>
      </c>
      <c r="B175" s="26" t="s">
        <v>39</v>
      </c>
      <c r="C175" s="26" t="s">
        <v>64</v>
      </c>
      <c r="D175" s="26" t="str">
        <f aca="false">INDEX(Data_Posts!$N$2:$N$301,MATCH(A175,Data_Posts!$A$2:$A$301,0))</f>
        <v>FashionUpgrade</v>
      </c>
      <c r="E175" s="28" t="n">
        <f aca="false">INDEX(Data_Posts!$P$2:$P$301,MATCH(A175,Data_Posts!$A$2:$A$301,0))</f>
        <v>0.167695155816106</v>
      </c>
      <c r="F175" s="26" t="n">
        <f aca="false">INDEX(Data_Posts!$K$2:$K$301,MATCH(A175,Data_Posts!$A$2:$A$301,0))</f>
        <v>131</v>
      </c>
    </row>
    <row r="176" customFormat="false" ht="15" hidden="false" customHeight="false" outlineLevel="0" collapsed="false">
      <c r="A176" s="26" t="s">
        <v>221</v>
      </c>
      <c r="B176" s="26" t="s">
        <v>38</v>
      </c>
      <c r="C176" s="26" t="s">
        <v>62</v>
      </c>
      <c r="D176" s="26" t="str">
        <f aca="false">INDEX(Data_Posts!$N$2:$N$301,MATCH(A176,Data_Posts!$A$2:$A$301,0))</f>
        <v>EndOfSeasonSale</v>
      </c>
      <c r="E176" s="28" t="n">
        <f aca="false">INDEX(Data_Posts!$P$2:$P$301,MATCH(A176,Data_Posts!$A$2:$A$301,0))</f>
        <v>0.117923172717693</v>
      </c>
      <c r="F176" s="26" t="n">
        <f aca="false">INDEX(Data_Posts!$K$2:$K$301,MATCH(A176,Data_Posts!$A$2:$A$301,0))</f>
        <v>219</v>
      </c>
    </row>
    <row r="177" customFormat="false" ht="15" hidden="false" customHeight="false" outlineLevel="0" collapsed="false">
      <c r="A177" s="26" t="s">
        <v>221</v>
      </c>
      <c r="B177" s="26" t="s">
        <v>38</v>
      </c>
      <c r="C177" s="26" t="s">
        <v>64</v>
      </c>
      <c r="D177" s="26" t="str">
        <f aca="false">INDEX(Data_Posts!$N$2:$N$301,MATCH(A177,Data_Posts!$A$2:$A$301,0))</f>
        <v>EndOfSeasonSale</v>
      </c>
      <c r="E177" s="28" t="n">
        <f aca="false">INDEX(Data_Posts!$P$2:$P$301,MATCH(A177,Data_Posts!$A$2:$A$301,0))</f>
        <v>0.117923172717693</v>
      </c>
      <c r="F177" s="26" t="n">
        <f aca="false">INDEX(Data_Posts!$K$2:$K$301,MATCH(A177,Data_Posts!$A$2:$A$301,0))</f>
        <v>219</v>
      </c>
    </row>
    <row r="178" customFormat="false" ht="15" hidden="false" customHeight="false" outlineLevel="0" collapsed="false">
      <c r="A178" s="26" t="s">
        <v>222</v>
      </c>
      <c r="B178" s="26" t="s">
        <v>36</v>
      </c>
      <c r="C178" s="26" t="s">
        <v>63</v>
      </c>
      <c r="D178" s="26" t="str">
        <f aca="false">INDEX(Data_Posts!$N$2:$N$301,MATCH(A178,Data_Posts!$A$2:$A$301,0))</f>
        <v>EndOfSeasonSale</v>
      </c>
      <c r="E178" s="28" t="n">
        <f aca="false">INDEX(Data_Posts!$P$2:$P$301,MATCH(A178,Data_Posts!$A$2:$A$301,0))</f>
        <v>0.0801582069874753</v>
      </c>
      <c r="F178" s="26" t="n">
        <f aca="false">INDEX(Data_Posts!$K$2:$K$301,MATCH(A178,Data_Posts!$A$2:$A$301,0))</f>
        <v>57</v>
      </c>
    </row>
    <row r="179" customFormat="false" ht="15" hidden="false" customHeight="false" outlineLevel="0" collapsed="false">
      <c r="A179" s="26" t="s">
        <v>223</v>
      </c>
      <c r="B179" s="26" t="s">
        <v>37</v>
      </c>
      <c r="C179" s="26" t="s">
        <v>63</v>
      </c>
      <c r="D179" s="26" t="str">
        <f aca="false">INDEX(Data_Posts!$N$2:$N$301,MATCH(A179,Data_Posts!$A$2:$A$301,0))</f>
        <v>StyleRevolution</v>
      </c>
      <c r="E179" s="28" t="n">
        <f aca="false">INDEX(Data_Posts!$P$2:$P$301,MATCH(A179,Data_Posts!$A$2:$A$301,0))</f>
        <v>0.317055837563452</v>
      </c>
      <c r="F179" s="26" t="n">
        <f aca="false">INDEX(Data_Posts!$K$2:$K$301,MATCH(A179,Data_Posts!$A$2:$A$301,0))</f>
        <v>117</v>
      </c>
    </row>
    <row r="180" customFormat="false" ht="15" hidden="false" customHeight="false" outlineLevel="0" collapsed="false">
      <c r="A180" s="26" t="s">
        <v>224</v>
      </c>
      <c r="B180" s="26" t="s">
        <v>36</v>
      </c>
      <c r="C180" s="26" t="s">
        <v>62</v>
      </c>
      <c r="D180" s="26" t="str">
        <f aca="false">INDEX(Data_Posts!$N$2:$N$301,MATCH(A180,Data_Posts!$A$2:$A$301,0))</f>
        <v>StyleRevolution</v>
      </c>
      <c r="E180" s="28" t="n">
        <f aca="false">INDEX(Data_Posts!$P$2:$P$301,MATCH(A180,Data_Posts!$A$2:$A$301,0))</f>
        <v>0.234149184149184</v>
      </c>
      <c r="F180" s="26" t="n">
        <f aca="false">INDEX(Data_Posts!$K$2:$K$301,MATCH(A180,Data_Posts!$A$2:$A$301,0))</f>
        <v>91</v>
      </c>
    </row>
    <row r="181" customFormat="false" ht="15" hidden="false" customHeight="false" outlineLevel="0" collapsed="false">
      <c r="A181" s="26" t="s">
        <v>224</v>
      </c>
      <c r="B181" s="26" t="s">
        <v>36</v>
      </c>
      <c r="C181" s="26" t="s">
        <v>61</v>
      </c>
      <c r="D181" s="26" t="str">
        <f aca="false">INDEX(Data_Posts!$N$2:$N$301,MATCH(A181,Data_Posts!$A$2:$A$301,0))</f>
        <v>StyleRevolution</v>
      </c>
      <c r="E181" s="28" t="n">
        <f aca="false">INDEX(Data_Posts!$P$2:$P$301,MATCH(A181,Data_Posts!$A$2:$A$301,0))</f>
        <v>0.234149184149184</v>
      </c>
      <c r="F181" s="26" t="n">
        <f aca="false">INDEX(Data_Posts!$K$2:$K$301,MATCH(A181,Data_Posts!$A$2:$A$301,0))</f>
        <v>91</v>
      </c>
    </row>
    <row r="182" customFormat="false" ht="15" hidden="false" customHeight="false" outlineLevel="0" collapsed="false">
      <c r="A182" s="26" t="s">
        <v>225</v>
      </c>
      <c r="B182" s="26" t="s">
        <v>37</v>
      </c>
      <c r="C182" s="26" t="s">
        <v>60</v>
      </c>
      <c r="D182" s="26" t="str">
        <f aca="false">INDEX(Data_Posts!$N$2:$N$301,MATCH(A182,Data_Posts!$A$2:$A$301,0))</f>
        <v>StyleRevolution</v>
      </c>
      <c r="E182" s="28" t="n">
        <f aca="false">INDEX(Data_Posts!$P$2:$P$301,MATCH(A182,Data_Posts!$A$2:$A$301,0))</f>
        <v>0.323493975903614</v>
      </c>
      <c r="F182" s="26" t="n">
        <f aca="false">INDEX(Data_Posts!$K$2:$K$301,MATCH(A182,Data_Posts!$A$2:$A$301,0))</f>
        <v>185</v>
      </c>
    </row>
    <row r="183" customFormat="false" ht="15" hidden="false" customHeight="false" outlineLevel="0" collapsed="false">
      <c r="A183" s="26" t="s">
        <v>225</v>
      </c>
      <c r="B183" s="26" t="s">
        <v>37</v>
      </c>
      <c r="C183" s="26" t="s">
        <v>64</v>
      </c>
      <c r="D183" s="26" t="str">
        <f aca="false">INDEX(Data_Posts!$N$2:$N$301,MATCH(A183,Data_Posts!$A$2:$A$301,0))</f>
        <v>StyleRevolution</v>
      </c>
      <c r="E183" s="28" t="n">
        <f aca="false">INDEX(Data_Posts!$P$2:$P$301,MATCH(A183,Data_Posts!$A$2:$A$301,0))</f>
        <v>0.323493975903614</v>
      </c>
      <c r="F183" s="26" t="n">
        <f aca="false">INDEX(Data_Posts!$K$2:$K$301,MATCH(A183,Data_Posts!$A$2:$A$301,0))</f>
        <v>185</v>
      </c>
    </row>
    <row r="184" customFormat="false" ht="15" hidden="false" customHeight="false" outlineLevel="0" collapsed="false">
      <c r="A184" s="26" t="s">
        <v>226</v>
      </c>
      <c r="B184" s="26" t="s">
        <v>37</v>
      </c>
      <c r="C184" s="26" t="s">
        <v>61</v>
      </c>
      <c r="D184" s="26" t="str">
        <f aca="false">INDEX(Data_Posts!$N$2:$N$301,MATCH(A184,Data_Posts!$A$2:$A$301,0))</f>
        <v>EndOfSeasonSale</v>
      </c>
      <c r="E184" s="28" t="n">
        <f aca="false">INDEX(Data_Posts!$P$2:$P$301,MATCH(A184,Data_Posts!$A$2:$A$301,0))</f>
        <v>0.0805652680652681</v>
      </c>
      <c r="F184" s="26" t="n">
        <f aca="false">INDEX(Data_Posts!$K$2:$K$301,MATCH(A184,Data_Posts!$A$2:$A$301,0))</f>
        <v>264</v>
      </c>
    </row>
    <row r="185" customFormat="false" ht="15" hidden="false" customHeight="false" outlineLevel="0" collapsed="false">
      <c r="A185" s="26" t="s">
        <v>226</v>
      </c>
      <c r="B185" s="26" t="s">
        <v>37</v>
      </c>
      <c r="C185" s="26" t="s">
        <v>63</v>
      </c>
      <c r="D185" s="26" t="str">
        <f aca="false">INDEX(Data_Posts!$N$2:$N$301,MATCH(A185,Data_Posts!$A$2:$A$301,0))</f>
        <v>EndOfSeasonSale</v>
      </c>
      <c r="E185" s="28" t="n">
        <f aca="false">INDEX(Data_Posts!$P$2:$P$301,MATCH(A185,Data_Posts!$A$2:$A$301,0))</f>
        <v>0.0805652680652681</v>
      </c>
      <c r="F185" s="26" t="n">
        <f aca="false">INDEX(Data_Posts!$K$2:$K$301,MATCH(A185,Data_Posts!$A$2:$A$301,0))</f>
        <v>264</v>
      </c>
    </row>
    <row r="186" customFormat="false" ht="15" hidden="false" customHeight="false" outlineLevel="0" collapsed="false">
      <c r="A186" s="26" t="s">
        <v>227</v>
      </c>
      <c r="B186" s="26" t="s">
        <v>37</v>
      </c>
      <c r="C186" s="26" t="s">
        <v>62</v>
      </c>
      <c r="D186" s="26" t="str">
        <f aca="false">INDEX(Data_Posts!$N$2:$N$301,MATCH(A186,Data_Posts!$A$2:$A$301,0))</f>
        <v>EndOfSeasonSale</v>
      </c>
      <c r="E186" s="28" t="n">
        <f aca="false">INDEX(Data_Posts!$P$2:$P$301,MATCH(A186,Data_Posts!$A$2:$A$301,0))</f>
        <v>0.23616777446711</v>
      </c>
      <c r="F186" s="26" t="n">
        <f aca="false">INDEX(Data_Posts!$K$2:$K$301,MATCH(A186,Data_Posts!$A$2:$A$301,0))</f>
        <v>157</v>
      </c>
    </row>
    <row r="187" customFormat="false" ht="15" hidden="false" customHeight="false" outlineLevel="0" collapsed="false">
      <c r="A187" s="26" t="s">
        <v>227</v>
      </c>
      <c r="B187" s="26" t="s">
        <v>37</v>
      </c>
      <c r="C187" s="26" t="s">
        <v>61</v>
      </c>
      <c r="D187" s="26" t="str">
        <f aca="false">INDEX(Data_Posts!$N$2:$N$301,MATCH(A187,Data_Posts!$A$2:$A$301,0))</f>
        <v>EndOfSeasonSale</v>
      </c>
      <c r="E187" s="28" t="n">
        <f aca="false">INDEX(Data_Posts!$P$2:$P$301,MATCH(A187,Data_Posts!$A$2:$A$301,0))</f>
        <v>0.23616777446711</v>
      </c>
      <c r="F187" s="26" t="n">
        <f aca="false">INDEX(Data_Posts!$K$2:$K$301,MATCH(A187,Data_Posts!$A$2:$A$301,0))</f>
        <v>157</v>
      </c>
    </row>
    <row r="188" customFormat="false" ht="15" hidden="false" customHeight="false" outlineLevel="0" collapsed="false">
      <c r="A188" s="26" t="s">
        <v>228</v>
      </c>
      <c r="B188" s="26" t="s">
        <v>39</v>
      </c>
      <c r="C188" s="26" t="s">
        <v>64</v>
      </c>
      <c r="D188" s="26" t="str">
        <f aca="false">INDEX(Data_Posts!$N$2:$N$301,MATCH(A188,Data_Posts!$A$2:$A$301,0))</f>
        <v>MyntraFestiveEdit</v>
      </c>
      <c r="E188" s="28" t="n">
        <f aca="false">INDEX(Data_Posts!$P$2:$P$301,MATCH(A188,Data_Posts!$A$2:$A$301,0))</f>
        <v>0.336180124223603</v>
      </c>
      <c r="F188" s="26" t="n">
        <f aca="false">INDEX(Data_Posts!$K$2:$K$301,MATCH(A188,Data_Posts!$A$2:$A$301,0))</f>
        <v>19</v>
      </c>
    </row>
    <row r="189" customFormat="false" ht="15" hidden="false" customHeight="false" outlineLevel="0" collapsed="false">
      <c r="A189" s="26" t="s">
        <v>229</v>
      </c>
      <c r="B189" s="26" t="s">
        <v>38</v>
      </c>
      <c r="C189" s="26" t="s">
        <v>64</v>
      </c>
      <c r="D189" s="26" t="str">
        <f aca="false">INDEX(Data_Posts!$N$2:$N$301,MATCH(A189,Data_Posts!$A$2:$A$301,0))</f>
        <v>MyntraFestiveEdit</v>
      </c>
      <c r="E189" s="28" t="n">
        <f aca="false">INDEX(Data_Posts!$P$2:$P$301,MATCH(A189,Data_Posts!$A$2:$A$301,0))</f>
        <v>0.142657220327123</v>
      </c>
      <c r="F189" s="26" t="n">
        <f aca="false">INDEX(Data_Posts!$K$2:$K$301,MATCH(A189,Data_Posts!$A$2:$A$301,0))</f>
        <v>233</v>
      </c>
    </row>
    <row r="190" customFormat="false" ht="15" hidden="false" customHeight="false" outlineLevel="0" collapsed="false">
      <c r="A190" s="26" t="s">
        <v>230</v>
      </c>
      <c r="B190" s="26" t="s">
        <v>37</v>
      </c>
      <c r="C190" s="26" t="s">
        <v>61</v>
      </c>
      <c r="D190" s="26" t="str">
        <f aca="false">INDEX(Data_Posts!$N$2:$N$301,MATCH(A190,Data_Posts!$A$2:$A$301,0))</f>
        <v>EndOfSeasonSale</v>
      </c>
      <c r="E190" s="28" t="n">
        <f aca="false">INDEX(Data_Posts!$P$2:$P$301,MATCH(A190,Data_Posts!$A$2:$A$301,0))</f>
        <v>0.0998294634658271</v>
      </c>
      <c r="F190" s="26" t="n">
        <f aca="false">INDEX(Data_Posts!$K$2:$K$301,MATCH(A190,Data_Posts!$A$2:$A$301,0))</f>
        <v>142</v>
      </c>
    </row>
    <row r="191" customFormat="false" ht="15" hidden="false" customHeight="false" outlineLevel="0" collapsed="false">
      <c r="A191" s="26" t="s">
        <v>231</v>
      </c>
      <c r="B191" s="26" t="s">
        <v>36</v>
      </c>
      <c r="C191" s="26" t="s">
        <v>62</v>
      </c>
      <c r="D191" s="26" t="str">
        <f aca="false">INDEX(Data_Posts!$N$2:$N$301,MATCH(A191,Data_Posts!$A$2:$A$301,0))</f>
        <v>FashionUpgrade</v>
      </c>
      <c r="E191" s="28" t="n">
        <f aca="false">INDEX(Data_Posts!$P$2:$P$301,MATCH(A191,Data_Posts!$A$2:$A$301,0))</f>
        <v>0.0693114594133073</v>
      </c>
      <c r="F191" s="26" t="n">
        <f aca="false">INDEX(Data_Posts!$K$2:$K$301,MATCH(A191,Data_Posts!$A$2:$A$301,0))</f>
        <v>158</v>
      </c>
    </row>
    <row r="192" customFormat="false" ht="15" hidden="false" customHeight="false" outlineLevel="0" collapsed="false">
      <c r="A192" s="26" t="s">
        <v>231</v>
      </c>
      <c r="B192" s="26" t="s">
        <v>36</v>
      </c>
      <c r="C192" s="26" t="s">
        <v>64</v>
      </c>
      <c r="D192" s="26" t="str">
        <f aca="false">INDEX(Data_Posts!$N$2:$N$301,MATCH(A192,Data_Posts!$A$2:$A$301,0))</f>
        <v>FashionUpgrade</v>
      </c>
      <c r="E192" s="28" t="n">
        <f aca="false">INDEX(Data_Posts!$P$2:$P$301,MATCH(A192,Data_Posts!$A$2:$A$301,0))</f>
        <v>0.0693114594133073</v>
      </c>
      <c r="F192" s="26" t="n">
        <f aca="false">INDEX(Data_Posts!$K$2:$K$301,MATCH(A192,Data_Posts!$A$2:$A$301,0))</f>
        <v>158</v>
      </c>
    </row>
    <row r="193" customFormat="false" ht="15" hidden="false" customHeight="false" outlineLevel="0" collapsed="false">
      <c r="A193" s="26" t="s">
        <v>232</v>
      </c>
      <c r="B193" s="26" t="s">
        <v>38</v>
      </c>
      <c r="C193" s="26" t="s">
        <v>64</v>
      </c>
      <c r="D193" s="26" t="str">
        <f aca="false">INDEX(Data_Posts!$N$2:$N$301,MATCH(A193,Data_Posts!$A$2:$A$301,0))</f>
        <v>StyleRevolution</v>
      </c>
      <c r="E193" s="28" t="n">
        <f aca="false">INDEX(Data_Posts!$P$2:$P$301,MATCH(A193,Data_Posts!$A$2:$A$301,0))</f>
        <v>0.125377317809401</v>
      </c>
      <c r="F193" s="26" t="n">
        <f aca="false">INDEX(Data_Posts!$K$2:$K$301,MATCH(A193,Data_Posts!$A$2:$A$301,0))</f>
        <v>102</v>
      </c>
    </row>
    <row r="194" customFormat="false" ht="15" hidden="false" customHeight="false" outlineLevel="0" collapsed="false">
      <c r="A194" s="26" t="s">
        <v>233</v>
      </c>
      <c r="B194" s="26" t="s">
        <v>38</v>
      </c>
      <c r="C194" s="26" t="s">
        <v>60</v>
      </c>
      <c r="D194" s="26" t="str">
        <f aca="false">INDEX(Data_Posts!$N$2:$N$301,MATCH(A194,Data_Posts!$A$2:$A$301,0))</f>
        <v>StyleRevolution</v>
      </c>
      <c r="E194" s="28" t="n">
        <f aca="false">INDEX(Data_Posts!$P$2:$P$301,MATCH(A194,Data_Posts!$A$2:$A$301,0))</f>
        <v>0.172915696320447</v>
      </c>
      <c r="F194" s="26" t="n">
        <f aca="false">INDEX(Data_Posts!$K$2:$K$301,MATCH(A194,Data_Posts!$A$2:$A$301,0))</f>
        <v>170</v>
      </c>
    </row>
    <row r="195" customFormat="false" ht="15" hidden="false" customHeight="false" outlineLevel="0" collapsed="false">
      <c r="A195" s="26" t="s">
        <v>234</v>
      </c>
      <c r="B195" s="26" t="s">
        <v>39</v>
      </c>
      <c r="C195" s="26" t="s">
        <v>62</v>
      </c>
      <c r="D195" s="26" t="str">
        <f aca="false">INDEX(Data_Posts!$N$2:$N$301,MATCH(A195,Data_Posts!$A$2:$A$301,0))</f>
        <v>MyntraFestiveEdit</v>
      </c>
      <c r="E195" s="28" t="n">
        <f aca="false">INDEX(Data_Posts!$P$2:$P$301,MATCH(A195,Data_Posts!$A$2:$A$301,0))</f>
        <v>0.0895776566757493</v>
      </c>
      <c r="F195" s="26" t="n">
        <f aca="false">INDEX(Data_Posts!$K$2:$K$301,MATCH(A195,Data_Posts!$A$2:$A$301,0))</f>
        <v>22</v>
      </c>
    </row>
    <row r="196" customFormat="false" ht="15" hidden="false" customHeight="false" outlineLevel="0" collapsed="false">
      <c r="A196" s="26" t="s">
        <v>235</v>
      </c>
      <c r="B196" s="26" t="s">
        <v>37</v>
      </c>
      <c r="C196" s="26" t="s">
        <v>62</v>
      </c>
      <c r="D196" s="26" t="str">
        <f aca="false">INDEX(Data_Posts!$N$2:$N$301,MATCH(A196,Data_Posts!$A$2:$A$301,0))</f>
        <v>EndOfSeasonSale</v>
      </c>
      <c r="E196" s="28" t="n">
        <f aca="false">INDEX(Data_Posts!$P$2:$P$301,MATCH(A196,Data_Posts!$A$2:$A$301,0))</f>
        <v>0.131060606060606</v>
      </c>
      <c r="F196" s="26" t="n">
        <f aca="false">INDEX(Data_Posts!$K$2:$K$301,MATCH(A196,Data_Posts!$A$2:$A$301,0))</f>
        <v>57</v>
      </c>
    </row>
    <row r="197" customFormat="false" ht="15" hidden="false" customHeight="false" outlineLevel="0" collapsed="false">
      <c r="A197" s="26" t="s">
        <v>235</v>
      </c>
      <c r="B197" s="26" t="s">
        <v>37</v>
      </c>
      <c r="C197" s="26" t="s">
        <v>61</v>
      </c>
      <c r="D197" s="26" t="str">
        <f aca="false">INDEX(Data_Posts!$N$2:$N$301,MATCH(A197,Data_Posts!$A$2:$A$301,0))</f>
        <v>EndOfSeasonSale</v>
      </c>
      <c r="E197" s="28" t="n">
        <f aca="false">INDEX(Data_Posts!$P$2:$P$301,MATCH(A197,Data_Posts!$A$2:$A$301,0))</f>
        <v>0.131060606060606</v>
      </c>
      <c r="F197" s="26" t="n">
        <f aca="false">INDEX(Data_Posts!$K$2:$K$301,MATCH(A197,Data_Posts!$A$2:$A$301,0))</f>
        <v>57</v>
      </c>
    </row>
    <row r="198" customFormat="false" ht="15" hidden="false" customHeight="false" outlineLevel="0" collapsed="false">
      <c r="A198" s="26" t="s">
        <v>236</v>
      </c>
      <c r="B198" s="26" t="s">
        <v>37</v>
      </c>
      <c r="C198" s="26" t="s">
        <v>61</v>
      </c>
      <c r="D198" s="26" t="str">
        <f aca="false">INDEX(Data_Posts!$N$2:$N$301,MATCH(A198,Data_Posts!$A$2:$A$301,0))</f>
        <v>EndOfSeasonSale</v>
      </c>
      <c r="E198" s="28" t="n">
        <f aca="false">INDEX(Data_Posts!$P$2:$P$301,MATCH(A198,Data_Posts!$A$2:$A$301,0))</f>
        <v>0.134939534015035</v>
      </c>
      <c r="F198" s="26" t="n">
        <f aca="false">INDEX(Data_Posts!$K$2:$K$301,MATCH(A198,Data_Posts!$A$2:$A$301,0))</f>
        <v>186</v>
      </c>
    </row>
    <row r="199" customFormat="false" ht="15" hidden="false" customHeight="false" outlineLevel="0" collapsed="false">
      <c r="A199" s="26" t="s">
        <v>237</v>
      </c>
      <c r="B199" s="26" t="s">
        <v>36</v>
      </c>
      <c r="C199" s="26" t="s">
        <v>62</v>
      </c>
      <c r="D199" s="26" t="str">
        <f aca="false">INDEX(Data_Posts!$N$2:$N$301,MATCH(A199,Data_Posts!$A$2:$A$301,0))</f>
        <v>MyntraFestiveEdit</v>
      </c>
      <c r="E199" s="28" t="n">
        <f aca="false">INDEX(Data_Posts!$P$2:$P$301,MATCH(A199,Data_Posts!$A$2:$A$301,0))</f>
        <v>0.0717235092235092</v>
      </c>
      <c r="F199" s="26" t="n">
        <f aca="false">INDEX(Data_Posts!$K$2:$K$301,MATCH(A199,Data_Posts!$A$2:$A$301,0))</f>
        <v>25</v>
      </c>
    </row>
    <row r="200" customFormat="false" ht="15" hidden="false" customHeight="false" outlineLevel="0" collapsed="false">
      <c r="A200" s="26" t="s">
        <v>238</v>
      </c>
      <c r="B200" s="26" t="s">
        <v>38</v>
      </c>
      <c r="C200" s="26" t="s">
        <v>60</v>
      </c>
      <c r="D200" s="26" t="str">
        <f aca="false">INDEX(Data_Posts!$N$2:$N$301,MATCH(A200,Data_Posts!$A$2:$A$301,0))</f>
        <v>StyleRevolution</v>
      </c>
      <c r="E200" s="28" t="n">
        <f aca="false">INDEX(Data_Posts!$P$2:$P$301,MATCH(A200,Data_Posts!$A$2:$A$301,0))</f>
        <v>0.071133744304476</v>
      </c>
      <c r="F200" s="26" t="n">
        <f aca="false">INDEX(Data_Posts!$K$2:$K$301,MATCH(A200,Data_Posts!$A$2:$A$301,0))</f>
        <v>103</v>
      </c>
    </row>
    <row r="201" customFormat="false" ht="15" hidden="false" customHeight="false" outlineLevel="0" collapsed="false">
      <c r="A201" s="26" t="s">
        <v>239</v>
      </c>
      <c r="B201" s="26" t="s">
        <v>36</v>
      </c>
      <c r="C201" s="26" t="s">
        <v>63</v>
      </c>
      <c r="D201" s="26" t="str">
        <f aca="false">INDEX(Data_Posts!$N$2:$N$301,MATCH(A201,Data_Posts!$A$2:$A$301,0))</f>
        <v>MyntraFestiveEdit</v>
      </c>
      <c r="E201" s="28" t="n">
        <f aca="false">INDEX(Data_Posts!$P$2:$P$301,MATCH(A201,Data_Posts!$A$2:$A$301,0))</f>
        <v>0.0646148165730411</v>
      </c>
      <c r="F201" s="26" t="n">
        <f aca="false">INDEX(Data_Posts!$K$2:$K$301,MATCH(A201,Data_Posts!$A$2:$A$301,0))</f>
        <v>272</v>
      </c>
    </row>
    <row r="202" customFormat="false" ht="15" hidden="false" customHeight="false" outlineLevel="0" collapsed="false">
      <c r="A202" s="26" t="s">
        <v>240</v>
      </c>
      <c r="B202" s="26" t="s">
        <v>37</v>
      </c>
      <c r="C202" s="26" t="s">
        <v>62</v>
      </c>
      <c r="D202" s="26" t="str">
        <f aca="false">INDEX(Data_Posts!$N$2:$N$301,MATCH(A202,Data_Posts!$A$2:$A$301,0))</f>
        <v>StyleRevolution</v>
      </c>
      <c r="E202" s="28" t="n">
        <f aca="false">INDEX(Data_Posts!$P$2:$P$301,MATCH(A202,Data_Posts!$A$2:$A$301,0))</f>
        <v>0.203573707721761</v>
      </c>
      <c r="F202" s="26" t="n">
        <f aca="false">INDEX(Data_Posts!$K$2:$K$301,MATCH(A202,Data_Posts!$A$2:$A$301,0))</f>
        <v>130</v>
      </c>
    </row>
    <row r="203" customFormat="false" ht="15" hidden="false" customHeight="false" outlineLevel="0" collapsed="false">
      <c r="A203" s="26" t="s">
        <v>240</v>
      </c>
      <c r="B203" s="26" t="s">
        <v>37</v>
      </c>
      <c r="C203" s="26" t="s">
        <v>61</v>
      </c>
      <c r="D203" s="26" t="str">
        <f aca="false">INDEX(Data_Posts!$N$2:$N$301,MATCH(A203,Data_Posts!$A$2:$A$301,0))</f>
        <v>StyleRevolution</v>
      </c>
      <c r="E203" s="28" t="n">
        <f aca="false">INDEX(Data_Posts!$P$2:$P$301,MATCH(A203,Data_Posts!$A$2:$A$301,0))</f>
        <v>0.203573707721761</v>
      </c>
      <c r="F203" s="26" t="n">
        <f aca="false">INDEX(Data_Posts!$K$2:$K$301,MATCH(A203,Data_Posts!$A$2:$A$301,0))</f>
        <v>130</v>
      </c>
    </row>
    <row r="204" customFormat="false" ht="15" hidden="false" customHeight="false" outlineLevel="0" collapsed="false">
      <c r="A204" s="26" t="s">
        <v>241</v>
      </c>
      <c r="B204" s="26" t="s">
        <v>36</v>
      </c>
      <c r="C204" s="26" t="s">
        <v>60</v>
      </c>
      <c r="D204" s="26" t="str">
        <f aca="false">INDEX(Data_Posts!$N$2:$N$301,MATCH(A204,Data_Posts!$A$2:$A$301,0))</f>
        <v>FashionUpgrade</v>
      </c>
      <c r="E204" s="28" t="n">
        <f aca="false">INDEX(Data_Posts!$P$2:$P$301,MATCH(A204,Data_Posts!$A$2:$A$301,0))</f>
        <v>0.208710106382979</v>
      </c>
      <c r="F204" s="26" t="n">
        <f aca="false">INDEX(Data_Posts!$K$2:$K$301,MATCH(A204,Data_Posts!$A$2:$A$301,0))</f>
        <v>277</v>
      </c>
    </row>
    <row r="205" customFormat="false" ht="15" hidden="false" customHeight="false" outlineLevel="0" collapsed="false">
      <c r="A205" s="26" t="s">
        <v>242</v>
      </c>
      <c r="B205" s="26" t="s">
        <v>38</v>
      </c>
      <c r="C205" s="26" t="s">
        <v>61</v>
      </c>
      <c r="D205" s="26" t="str">
        <f aca="false">INDEX(Data_Posts!$N$2:$N$301,MATCH(A205,Data_Posts!$A$2:$A$301,0))</f>
        <v>StyleRevolution</v>
      </c>
      <c r="E205" s="28" t="n">
        <f aca="false">INDEX(Data_Posts!$P$2:$P$301,MATCH(A205,Data_Posts!$A$2:$A$301,0))</f>
        <v>0.160655737704918</v>
      </c>
      <c r="F205" s="26" t="n">
        <f aca="false">INDEX(Data_Posts!$K$2:$K$301,MATCH(A205,Data_Posts!$A$2:$A$301,0))</f>
        <v>234</v>
      </c>
    </row>
    <row r="206" customFormat="false" ht="15" hidden="false" customHeight="false" outlineLevel="0" collapsed="false">
      <c r="A206" s="26" t="s">
        <v>242</v>
      </c>
      <c r="B206" s="26" t="s">
        <v>38</v>
      </c>
      <c r="C206" s="26" t="s">
        <v>63</v>
      </c>
      <c r="D206" s="26" t="str">
        <f aca="false">INDEX(Data_Posts!$N$2:$N$301,MATCH(A206,Data_Posts!$A$2:$A$301,0))</f>
        <v>StyleRevolution</v>
      </c>
      <c r="E206" s="28" t="n">
        <f aca="false">INDEX(Data_Posts!$P$2:$P$301,MATCH(A206,Data_Posts!$A$2:$A$301,0))</f>
        <v>0.160655737704918</v>
      </c>
      <c r="F206" s="26" t="n">
        <f aca="false">INDEX(Data_Posts!$K$2:$K$301,MATCH(A206,Data_Posts!$A$2:$A$301,0))</f>
        <v>234</v>
      </c>
    </row>
    <row r="207" customFormat="false" ht="15" hidden="false" customHeight="false" outlineLevel="0" collapsed="false">
      <c r="A207" s="26" t="s">
        <v>243</v>
      </c>
      <c r="B207" s="26" t="s">
        <v>39</v>
      </c>
      <c r="C207" s="26" t="s">
        <v>61</v>
      </c>
      <c r="D207" s="26" t="str">
        <f aca="false">INDEX(Data_Posts!$N$2:$N$301,MATCH(A207,Data_Posts!$A$2:$A$301,0))</f>
        <v>EndOfSeasonSale</v>
      </c>
      <c r="E207" s="28" t="n">
        <f aca="false">INDEX(Data_Posts!$P$2:$P$301,MATCH(A207,Data_Posts!$A$2:$A$301,0))</f>
        <v>0.0942279679533867</v>
      </c>
      <c r="F207" s="26" t="n">
        <f aca="false">INDEX(Data_Posts!$K$2:$K$301,MATCH(A207,Data_Posts!$A$2:$A$301,0))</f>
        <v>147</v>
      </c>
    </row>
    <row r="208" customFormat="false" ht="15" hidden="false" customHeight="false" outlineLevel="0" collapsed="false">
      <c r="A208" s="26" t="s">
        <v>243</v>
      </c>
      <c r="B208" s="26" t="s">
        <v>39</v>
      </c>
      <c r="C208" s="26" t="s">
        <v>64</v>
      </c>
      <c r="D208" s="26" t="str">
        <f aca="false">INDEX(Data_Posts!$N$2:$N$301,MATCH(A208,Data_Posts!$A$2:$A$301,0))</f>
        <v>EndOfSeasonSale</v>
      </c>
      <c r="E208" s="28" t="n">
        <f aca="false">INDEX(Data_Posts!$P$2:$P$301,MATCH(A208,Data_Posts!$A$2:$A$301,0))</f>
        <v>0.0942279679533867</v>
      </c>
      <c r="F208" s="26" t="n">
        <f aca="false">INDEX(Data_Posts!$K$2:$K$301,MATCH(A208,Data_Posts!$A$2:$A$301,0))</f>
        <v>147</v>
      </c>
    </row>
    <row r="209" customFormat="false" ht="15" hidden="false" customHeight="false" outlineLevel="0" collapsed="false">
      <c r="A209" s="26" t="s">
        <v>244</v>
      </c>
      <c r="B209" s="26" t="s">
        <v>36</v>
      </c>
      <c r="C209" s="26" t="s">
        <v>60</v>
      </c>
      <c r="D209" s="26" t="str">
        <f aca="false">INDEX(Data_Posts!$N$2:$N$301,MATCH(A209,Data_Posts!$A$2:$A$301,0))</f>
        <v>FashionUpgrade</v>
      </c>
      <c r="E209" s="28" t="n">
        <f aca="false">INDEX(Data_Posts!$P$2:$P$301,MATCH(A209,Data_Posts!$A$2:$A$301,0))</f>
        <v>0.155718027062418</v>
      </c>
      <c r="F209" s="26" t="n">
        <f aca="false">INDEX(Data_Posts!$K$2:$K$301,MATCH(A209,Data_Posts!$A$2:$A$301,0))</f>
        <v>10</v>
      </c>
    </row>
    <row r="210" customFormat="false" ht="15" hidden="false" customHeight="false" outlineLevel="0" collapsed="false">
      <c r="A210" s="26" t="s">
        <v>245</v>
      </c>
      <c r="B210" s="26" t="s">
        <v>38</v>
      </c>
      <c r="C210" s="26" t="s">
        <v>62</v>
      </c>
      <c r="D210" s="26" t="str">
        <f aca="false">INDEX(Data_Posts!$N$2:$N$301,MATCH(A210,Data_Posts!$A$2:$A$301,0))</f>
        <v>MyntraFestiveEdit</v>
      </c>
      <c r="E210" s="28" t="n">
        <f aca="false">INDEX(Data_Posts!$P$2:$P$301,MATCH(A210,Data_Posts!$A$2:$A$301,0))</f>
        <v>0.231650893796004</v>
      </c>
      <c r="F210" s="26" t="n">
        <f aca="false">INDEX(Data_Posts!$K$2:$K$301,MATCH(A210,Data_Posts!$A$2:$A$301,0))</f>
        <v>240</v>
      </c>
    </row>
    <row r="211" customFormat="false" ht="15" hidden="false" customHeight="false" outlineLevel="0" collapsed="false">
      <c r="A211" s="26" t="s">
        <v>246</v>
      </c>
      <c r="B211" s="26" t="s">
        <v>39</v>
      </c>
      <c r="C211" s="26" t="s">
        <v>62</v>
      </c>
      <c r="D211" s="26" t="str">
        <f aca="false">INDEX(Data_Posts!$N$2:$N$301,MATCH(A211,Data_Posts!$A$2:$A$301,0))</f>
        <v>StyleRevolution</v>
      </c>
      <c r="E211" s="28" t="n">
        <f aca="false">INDEX(Data_Posts!$P$2:$P$301,MATCH(A211,Data_Posts!$A$2:$A$301,0))</f>
        <v>0.0694380879735571</v>
      </c>
      <c r="F211" s="26" t="n">
        <f aca="false">INDEX(Data_Posts!$K$2:$K$301,MATCH(A211,Data_Posts!$A$2:$A$301,0))</f>
        <v>114</v>
      </c>
    </row>
    <row r="212" customFormat="false" ht="15" hidden="false" customHeight="false" outlineLevel="0" collapsed="false">
      <c r="A212" s="26" t="s">
        <v>247</v>
      </c>
      <c r="B212" s="26" t="s">
        <v>39</v>
      </c>
      <c r="C212" s="26" t="s">
        <v>61</v>
      </c>
      <c r="D212" s="26" t="str">
        <f aca="false">INDEX(Data_Posts!$N$2:$N$301,MATCH(A212,Data_Posts!$A$2:$A$301,0))</f>
        <v>EndOfSeasonSale</v>
      </c>
      <c r="E212" s="28" t="n">
        <f aca="false">INDEX(Data_Posts!$P$2:$P$301,MATCH(A212,Data_Posts!$A$2:$A$301,0))</f>
        <v>0.501923076923077</v>
      </c>
      <c r="F212" s="26" t="n">
        <f aca="false">INDEX(Data_Posts!$K$2:$K$301,MATCH(A212,Data_Posts!$A$2:$A$301,0))</f>
        <v>117</v>
      </c>
    </row>
    <row r="213" customFormat="false" ht="15" hidden="false" customHeight="false" outlineLevel="0" collapsed="false">
      <c r="A213" s="26" t="s">
        <v>247</v>
      </c>
      <c r="B213" s="26" t="s">
        <v>39</v>
      </c>
      <c r="C213" s="26" t="s">
        <v>64</v>
      </c>
      <c r="D213" s="26" t="str">
        <f aca="false">INDEX(Data_Posts!$N$2:$N$301,MATCH(A213,Data_Posts!$A$2:$A$301,0))</f>
        <v>EndOfSeasonSale</v>
      </c>
      <c r="E213" s="28" t="n">
        <f aca="false">INDEX(Data_Posts!$P$2:$P$301,MATCH(A213,Data_Posts!$A$2:$A$301,0))</f>
        <v>0.501923076923077</v>
      </c>
      <c r="F213" s="26" t="n">
        <f aca="false">INDEX(Data_Posts!$K$2:$K$301,MATCH(A213,Data_Posts!$A$2:$A$301,0))</f>
        <v>117</v>
      </c>
    </row>
    <row r="214" customFormat="false" ht="15" hidden="false" customHeight="false" outlineLevel="0" collapsed="false">
      <c r="A214" s="26" t="s">
        <v>248</v>
      </c>
      <c r="B214" s="26" t="s">
        <v>39</v>
      </c>
      <c r="C214" s="26" t="s">
        <v>63</v>
      </c>
      <c r="D214" s="26" t="str">
        <f aca="false">INDEX(Data_Posts!$N$2:$N$301,MATCH(A214,Data_Posts!$A$2:$A$301,0))</f>
        <v>FashionUpgrade</v>
      </c>
      <c r="E214" s="28" t="n">
        <f aca="false">INDEX(Data_Posts!$P$2:$P$301,MATCH(A214,Data_Posts!$A$2:$A$301,0))</f>
        <v>0.0654557879787723</v>
      </c>
      <c r="F214" s="26" t="n">
        <f aca="false">INDEX(Data_Posts!$K$2:$K$301,MATCH(A214,Data_Posts!$A$2:$A$301,0))</f>
        <v>66</v>
      </c>
    </row>
    <row r="215" customFormat="false" ht="15" hidden="false" customHeight="false" outlineLevel="0" collapsed="false">
      <c r="A215" s="26" t="s">
        <v>248</v>
      </c>
      <c r="B215" s="26" t="s">
        <v>39</v>
      </c>
      <c r="C215" s="26" t="s">
        <v>64</v>
      </c>
      <c r="D215" s="26" t="str">
        <f aca="false">INDEX(Data_Posts!$N$2:$N$301,MATCH(A215,Data_Posts!$A$2:$A$301,0))</f>
        <v>FashionUpgrade</v>
      </c>
      <c r="E215" s="28" t="n">
        <f aca="false">INDEX(Data_Posts!$P$2:$P$301,MATCH(A215,Data_Posts!$A$2:$A$301,0))</f>
        <v>0.0654557879787723</v>
      </c>
      <c r="F215" s="26" t="n">
        <f aca="false">INDEX(Data_Posts!$K$2:$K$301,MATCH(A215,Data_Posts!$A$2:$A$301,0))</f>
        <v>66</v>
      </c>
    </row>
    <row r="216" customFormat="false" ht="15" hidden="false" customHeight="false" outlineLevel="0" collapsed="false">
      <c r="A216" s="26" t="s">
        <v>249</v>
      </c>
      <c r="B216" s="26" t="s">
        <v>37</v>
      </c>
      <c r="C216" s="26" t="s">
        <v>60</v>
      </c>
      <c r="D216" s="26" t="str">
        <f aca="false">INDEX(Data_Posts!$N$2:$N$301,MATCH(A216,Data_Posts!$A$2:$A$301,0))</f>
        <v>FashionUpgrade</v>
      </c>
      <c r="E216" s="28" t="n">
        <f aca="false">INDEX(Data_Posts!$P$2:$P$301,MATCH(A216,Data_Posts!$A$2:$A$301,0))</f>
        <v>0.0564164004259851</v>
      </c>
      <c r="F216" s="26" t="n">
        <f aca="false">INDEX(Data_Posts!$K$2:$K$301,MATCH(A216,Data_Posts!$A$2:$A$301,0))</f>
        <v>142</v>
      </c>
    </row>
    <row r="217" customFormat="false" ht="15" hidden="false" customHeight="false" outlineLevel="0" collapsed="false">
      <c r="A217" s="26" t="s">
        <v>249</v>
      </c>
      <c r="B217" s="26" t="s">
        <v>37</v>
      </c>
      <c r="C217" s="26" t="s">
        <v>63</v>
      </c>
      <c r="D217" s="26" t="str">
        <f aca="false">INDEX(Data_Posts!$N$2:$N$301,MATCH(A217,Data_Posts!$A$2:$A$301,0))</f>
        <v>FashionUpgrade</v>
      </c>
      <c r="E217" s="28" t="n">
        <f aca="false">INDEX(Data_Posts!$P$2:$P$301,MATCH(A217,Data_Posts!$A$2:$A$301,0))</f>
        <v>0.0564164004259851</v>
      </c>
      <c r="F217" s="26" t="n">
        <f aca="false">INDEX(Data_Posts!$K$2:$K$301,MATCH(A217,Data_Posts!$A$2:$A$301,0))</f>
        <v>142</v>
      </c>
    </row>
    <row r="218" customFormat="false" ht="15" hidden="false" customHeight="false" outlineLevel="0" collapsed="false">
      <c r="A218" s="26" t="s">
        <v>250</v>
      </c>
      <c r="B218" s="26" t="s">
        <v>39</v>
      </c>
      <c r="C218" s="26" t="s">
        <v>64</v>
      </c>
      <c r="D218" s="26" t="str">
        <f aca="false">INDEX(Data_Posts!$N$2:$N$301,MATCH(A218,Data_Posts!$A$2:$A$301,0))</f>
        <v>FashionUpgrade</v>
      </c>
      <c r="E218" s="28" t="n">
        <f aca="false">INDEX(Data_Posts!$P$2:$P$301,MATCH(A218,Data_Posts!$A$2:$A$301,0))</f>
        <v>0.21636759108211</v>
      </c>
      <c r="F218" s="26" t="n">
        <f aca="false">INDEX(Data_Posts!$K$2:$K$301,MATCH(A218,Data_Posts!$A$2:$A$301,0))</f>
        <v>200</v>
      </c>
    </row>
    <row r="219" customFormat="false" ht="15" hidden="false" customHeight="false" outlineLevel="0" collapsed="false">
      <c r="A219" s="26" t="s">
        <v>251</v>
      </c>
      <c r="B219" s="26" t="s">
        <v>37</v>
      </c>
      <c r="C219" s="26" t="s">
        <v>62</v>
      </c>
      <c r="D219" s="26" t="str">
        <f aca="false">INDEX(Data_Posts!$N$2:$N$301,MATCH(A219,Data_Posts!$A$2:$A$301,0))</f>
        <v>MyntraFestiveEdit</v>
      </c>
      <c r="E219" s="28" t="n">
        <f aca="false">INDEX(Data_Posts!$P$2:$P$301,MATCH(A219,Data_Posts!$A$2:$A$301,0))</f>
        <v>0.152833230958231</v>
      </c>
      <c r="F219" s="26" t="n">
        <f aca="false">INDEX(Data_Posts!$K$2:$K$301,MATCH(A219,Data_Posts!$A$2:$A$301,0))</f>
        <v>143</v>
      </c>
    </row>
    <row r="220" customFormat="false" ht="15" hidden="false" customHeight="false" outlineLevel="0" collapsed="false">
      <c r="A220" s="26" t="s">
        <v>251</v>
      </c>
      <c r="B220" s="26" t="s">
        <v>37</v>
      </c>
      <c r="C220" s="26" t="s">
        <v>64</v>
      </c>
      <c r="D220" s="26" t="str">
        <f aca="false">INDEX(Data_Posts!$N$2:$N$301,MATCH(A220,Data_Posts!$A$2:$A$301,0))</f>
        <v>MyntraFestiveEdit</v>
      </c>
      <c r="E220" s="28" t="n">
        <f aca="false">INDEX(Data_Posts!$P$2:$P$301,MATCH(A220,Data_Posts!$A$2:$A$301,0))</f>
        <v>0.152833230958231</v>
      </c>
      <c r="F220" s="26" t="n">
        <f aca="false">INDEX(Data_Posts!$K$2:$K$301,MATCH(A220,Data_Posts!$A$2:$A$301,0))</f>
        <v>143</v>
      </c>
    </row>
    <row r="221" customFormat="false" ht="15" hidden="false" customHeight="false" outlineLevel="0" collapsed="false">
      <c r="A221" s="26" t="s">
        <v>252</v>
      </c>
      <c r="B221" s="26" t="s">
        <v>37</v>
      </c>
      <c r="C221" s="26" t="s">
        <v>64</v>
      </c>
      <c r="D221" s="26" t="str">
        <f aca="false">INDEX(Data_Posts!$N$2:$N$301,MATCH(A221,Data_Posts!$A$2:$A$301,0))</f>
        <v>EndOfSeasonSale</v>
      </c>
      <c r="E221" s="28" t="n">
        <f aca="false">INDEX(Data_Posts!$P$2:$P$301,MATCH(A221,Data_Posts!$A$2:$A$301,0))</f>
        <v>0.198645052020324</v>
      </c>
      <c r="F221" s="26" t="n">
        <f aca="false">INDEX(Data_Posts!$K$2:$K$301,MATCH(A221,Data_Posts!$A$2:$A$301,0))</f>
        <v>176</v>
      </c>
    </row>
    <row r="222" customFormat="false" ht="15" hidden="false" customHeight="false" outlineLevel="0" collapsed="false">
      <c r="A222" s="26" t="s">
        <v>253</v>
      </c>
      <c r="B222" s="26" t="s">
        <v>38</v>
      </c>
      <c r="C222" s="26" t="s">
        <v>63</v>
      </c>
      <c r="D222" s="26" t="str">
        <f aca="false">INDEX(Data_Posts!$N$2:$N$301,MATCH(A222,Data_Posts!$A$2:$A$301,0))</f>
        <v>MyntraFestiveEdit</v>
      </c>
      <c r="E222" s="28" t="n">
        <f aca="false">INDEX(Data_Posts!$P$2:$P$301,MATCH(A222,Data_Posts!$A$2:$A$301,0))</f>
        <v>0.0772914218566392</v>
      </c>
      <c r="F222" s="26" t="n">
        <f aca="false">INDEX(Data_Posts!$K$2:$K$301,MATCH(A222,Data_Posts!$A$2:$A$301,0))</f>
        <v>76</v>
      </c>
    </row>
    <row r="223" customFormat="false" ht="15" hidden="false" customHeight="false" outlineLevel="0" collapsed="false">
      <c r="A223" s="26" t="s">
        <v>254</v>
      </c>
      <c r="B223" s="26" t="s">
        <v>39</v>
      </c>
      <c r="C223" s="26" t="s">
        <v>63</v>
      </c>
      <c r="D223" s="26" t="str">
        <f aca="false">INDEX(Data_Posts!$N$2:$N$301,MATCH(A223,Data_Posts!$A$2:$A$301,0))</f>
        <v>EndOfSeasonSale</v>
      </c>
      <c r="E223" s="28" t="n">
        <f aca="false">INDEX(Data_Posts!$P$2:$P$301,MATCH(A223,Data_Posts!$A$2:$A$301,0))</f>
        <v>0.0637136204889406</v>
      </c>
      <c r="F223" s="26" t="n">
        <f aca="false">INDEX(Data_Posts!$K$2:$K$301,MATCH(A223,Data_Posts!$A$2:$A$301,0))</f>
        <v>290</v>
      </c>
    </row>
    <row r="224" customFormat="false" ht="15" hidden="false" customHeight="false" outlineLevel="0" collapsed="false">
      <c r="A224" s="26" t="s">
        <v>254</v>
      </c>
      <c r="B224" s="26" t="s">
        <v>39</v>
      </c>
      <c r="C224" s="26" t="s">
        <v>62</v>
      </c>
      <c r="D224" s="26" t="str">
        <f aca="false">INDEX(Data_Posts!$N$2:$N$301,MATCH(A224,Data_Posts!$A$2:$A$301,0))</f>
        <v>EndOfSeasonSale</v>
      </c>
      <c r="E224" s="28" t="n">
        <f aca="false">INDEX(Data_Posts!$P$2:$P$301,MATCH(A224,Data_Posts!$A$2:$A$301,0))</f>
        <v>0.0637136204889406</v>
      </c>
      <c r="F224" s="26" t="n">
        <f aca="false">INDEX(Data_Posts!$K$2:$K$301,MATCH(A224,Data_Posts!$A$2:$A$301,0))</f>
        <v>290</v>
      </c>
    </row>
    <row r="225" customFormat="false" ht="15" hidden="false" customHeight="false" outlineLevel="0" collapsed="false">
      <c r="A225" s="26" t="s">
        <v>255</v>
      </c>
      <c r="B225" s="26" t="s">
        <v>37</v>
      </c>
      <c r="C225" s="26" t="s">
        <v>63</v>
      </c>
      <c r="D225" s="26" t="str">
        <f aca="false">INDEX(Data_Posts!$N$2:$N$301,MATCH(A225,Data_Posts!$A$2:$A$301,0))</f>
        <v>MyntraFestiveEdit</v>
      </c>
      <c r="E225" s="28" t="n">
        <f aca="false">INDEX(Data_Posts!$P$2:$P$301,MATCH(A225,Data_Posts!$A$2:$A$301,0))</f>
        <v>0.109778027535825</v>
      </c>
      <c r="F225" s="26" t="n">
        <f aca="false">INDEX(Data_Posts!$K$2:$K$301,MATCH(A225,Data_Posts!$A$2:$A$301,0))</f>
        <v>122</v>
      </c>
    </row>
    <row r="226" customFormat="false" ht="15" hidden="false" customHeight="false" outlineLevel="0" collapsed="false">
      <c r="A226" s="26" t="s">
        <v>255</v>
      </c>
      <c r="B226" s="26" t="s">
        <v>37</v>
      </c>
      <c r="C226" s="26" t="s">
        <v>64</v>
      </c>
      <c r="D226" s="26" t="str">
        <f aca="false">INDEX(Data_Posts!$N$2:$N$301,MATCH(A226,Data_Posts!$A$2:$A$301,0))</f>
        <v>MyntraFestiveEdit</v>
      </c>
      <c r="E226" s="28" t="n">
        <f aca="false">INDEX(Data_Posts!$P$2:$P$301,MATCH(A226,Data_Posts!$A$2:$A$301,0))</f>
        <v>0.109778027535825</v>
      </c>
      <c r="F226" s="26" t="n">
        <f aca="false">INDEX(Data_Posts!$K$2:$K$301,MATCH(A226,Data_Posts!$A$2:$A$301,0))</f>
        <v>122</v>
      </c>
    </row>
    <row r="227" customFormat="false" ht="15" hidden="false" customHeight="false" outlineLevel="0" collapsed="false">
      <c r="A227" s="26" t="s">
        <v>256</v>
      </c>
      <c r="B227" s="26" t="s">
        <v>36</v>
      </c>
      <c r="C227" s="26" t="s">
        <v>62</v>
      </c>
      <c r="D227" s="26" t="str">
        <f aca="false">INDEX(Data_Posts!$N$2:$N$301,MATCH(A227,Data_Posts!$A$2:$A$301,0))</f>
        <v>StyleRevolution</v>
      </c>
      <c r="E227" s="28" t="n">
        <f aca="false">INDEX(Data_Posts!$P$2:$P$301,MATCH(A227,Data_Posts!$A$2:$A$301,0))</f>
        <v>0.19511518179295</v>
      </c>
      <c r="F227" s="26" t="n">
        <f aca="false">INDEX(Data_Posts!$K$2:$K$301,MATCH(A227,Data_Posts!$A$2:$A$301,0))</f>
        <v>47</v>
      </c>
    </row>
    <row r="228" customFormat="false" ht="15" hidden="false" customHeight="false" outlineLevel="0" collapsed="false">
      <c r="A228" s="26" t="s">
        <v>256</v>
      </c>
      <c r="B228" s="26" t="s">
        <v>36</v>
      </c>
      <c r="C228" s="26" t="s">
        <v>64</v>
      </c>
      <c r="D228" s="26" t="str">
        <f aca="false">INDEX(Data_Posts!$N$2:$N$301,MATCH(A228,Data_Posts!$A$2:$A$301,0))</f>
        <v>StyleRevolution</v>
      </c>
      <c r="E228" s="28" t="n">
        <f aca="false">INDEX(Data_Posts!$P$2:$P$301,MATCH(A228,Data_Posts!$A$2:$A$301,0))</f>
        <v>0.19511518179295</v>
      </c>
      <c r="F228" s="26" t="n">
        <f aca="false">INDEX(Data_Posts!$K$2:$K$301,MATCH(A228,Data_Posts!$A$2:$A$301,0))</f>
        <v>47</v>
      </c>
    </row>
    <row r="229" customFormat="false" ht="15" hidden="false" customHeight="false" outlineLevel="0" collapsed="false">
      <c r="A229" s="26" t="s">
        <v>257</v>
      </c>
      <c r="B229" s="26" t="s">
        <v>38</v>
      </c>
      <c r="C229" s="26" t="s">
        <v>60</v>
      </c>
      <c r="D229" s="26" t="str">
        <f aca="false">INDEX(Data_Posts!$N$2:$N$301,MATCH(A229,Data_Posts!$A$2:$A$301,0))</f>
        <v>MyntraFestiveEdit</v>
      </c>
      <c r="E229" s="28" t="n">
        <f aca="false">INDEX(Data_Posts!$P$2:$P$301,MATCH(A229,Data_Posts!$A$2:$A$301,0))</f>
        <v>0.178013557323902</v>
      </c>
      <c r="F229" s="26" t="n">
        <f aca="false">INDEX(Data_Posts!$K$2:$K$301,MATCH(A229,Data_Posts!$A$2:$A$301,0))</f>
        <v>212</v>
      </c>
    </row>
    <row r="230" customFormat="false" ht="15" hidden="false" customHeight="false" outlineLevel="0" collapsed="false">
      <c r="A230" s="26" t="s">
        <v>257</v>
      </c>
      <c r="B230" s="26" t="s">
        <v>38</v>
      </c>
      <c r="C230" s="26" t="s">
        <v>63</v>
      </c>
      <c r="D230" s="26" t="str">
        <f aca="false">INDEX(Data_Posts!$N$2:$N$301,MATCH(A230,Data_Posts!$A$2:$A$301,0))</f>
        <v>MyntraFestiveEdit</v>
      </c>
      <c r="E230" s="28" t="n">
        <f aca="false">INDEX(Data_Posts!$P$2:$P$301,MATCH(A230,Data_Posts!$A$2:$A$301,0))</f>
        <v>0.178013557323902</v>
      </c>
      <c r="F230" s="26" t="n">
        <f aca="false">INDEX(Data_Posts!$K$2:$K$301,MATCH(A230,Data_Posts!$A$2:$A$301,0))</f>
        <v>212</v>
      </c>
    </row>
    <row r="231" customFormat="false" ht="15" hidden="false" customHeight="false" outlineLevel="0" collapsed="false">
      <c r="A231" s="26" t="s">
        <v>258</v>
      </c>
      <c r="B231" s="26" t="s">
        <v>37</v>
      </c>
      <c r="C231" s="26" t="s">
        <v>62</v>
      </c>
      <c r="D231" s="26" t="str">
        <f aca="false">INDEX(Data_Posts!$N$2:$N$301,MATCH(A231,Data_Posts!$A$2:$A$301,0))</f>
        <v>EndOfSeasonSale</v>
      </c>
      <c r="E231" s="28" t="n">
        <f aca="false">INDEX(Data_Posts!$P$2:$P$301,MATCH(A231,Data_Posts!$A$2:$A$301,0))</f>
        <v>0.319651921682379</v>
      </c>
      <c r="F231" s="26" t="n">
        <f aca="false">INDEX(Data_Posts!$K$2:$K$301,MATCH(A231,Data_Posts!$A$2:$A$301,0))</f>
        <v>64</v>
      </c>
    </row>
    <row r="232" customFormat="false" ht="15" hidden="false" customHeight="false" outlineLevel="0" collapsed="false">
      <c r="A232" s="26" t="s">
        <v>258</v>
      </c>
      <c r="B232" s="26" t="s">
        <v>37</v>
      </c>
      <c r="C232" s="26" t="s">
        <v>61</v>
      </c>
      <c r="D232" s="26" t="str">
        <f aca="false">INDEX(Data_Posts!$N$2:$N$301,MATCH(A232,Data_Posts!$A$2:$A$301,0))</f>
        <v>EndOfSeasonSale</v>
      </c>
      <c r="E232" s="28" t="n">
        <f aca="false">INDEX(Data_Posts!$P$2:$P$301,MATCH(A232,Data_Posts!$A$2:$A$301,0))</f>
        <v>0.319651921682379</v>
      </c>
      <c r="F232" s="26" t="n">
        <f aca="false">INDEX(Data_Posts!$K$2:$K$301,MATCH(A232,Data_Posts!$A$2:$A$301,0))</f>
        <v>64</v>
      </c>
    </row>
    <row r="233" customFormat="false" ht="15" hidden="false" customHeight="false" outlineLevel="0" collapsed="false">
      <c r="A233" s="26" t="s">
        <v>259</v>
      </c>
      <c r="B233" s="26" t="s">
        <v>39</v>
      </c>
      <c r="C233" s="26" t="s">
        <v>61</v>
      </c>
      <c r="D233" s="26" t="str">
        <f aca="false">INDEX(Data_Posts!$N$2:$N$301,MATCH(A233,Data_Posts!$A$2:$A$301,0))</f>
        <v>MyntraFestiveEdit</v>
      </c>
      <c r="E233" s="28" t="n">
        <f aca="false">INDEX(Data_Posts!$P$2:$P$301,MATCH(A233,Data_Posts!$A$2:$A$301,0))</f>
        <v>0.114892685063513</v>
      </c>
      <c r="F233" s="26" t="n">
        <f aca="false">INDEX(Data_Posts!$K$2:$K$301,MATCH(A233,Data_Posts!$A$2:$A$301,0))</f>
        <v>143</v>
      </c>
    </row>
    <row r="234" customFormat="false" ht="15" hidden="false" customHeight="false" outlineLevel="0" collapsed="false">
      <c r="A234" s="26" t="s">
        <v>259</v>
      </c>
      <c r="B234" s="26" t="s">
        <v>39</v>
      </c>
      <c r="C234" s="26" t="s">
        <v>64</v>
      </c>
      <c r="D234" s="26" t="str">
        <f aca="false">INDEX(Data_Posts!$N$2:$N$301,MATCH(A234,Data_Posts!$A$2:$A$301,0))</f>
        <v>MyntraFestiveEdit</v>
      </c>
      <c r="E234" s="28" t="n">
        <f aca="false">INDEX(Data_Posts!$P$2:$P$301,MATCH(A234,Data_Posts!$A$2:$A$301,0))</f>
        <v>0.114892685063513</v>
      </c>
      <c r="F234" s="26" t="n">
        <f aca="false">INDEX(Data_Posts!$K$2:$K$301,MATCH(A234,Data_Posts!$A$2:$A$301,0))</f>
        <v>143</v>
      </c>
    </row>
    <row r="235" customFormat="false" ht="15" hidden="false" customHeight="false" outlineLevel="0" collapsed="false">
      <c r="A235" s="26" t="s">
        <v>260</v>
      </c>
      <c r="B235" s="26" t="s">
        <v>36</v>
      </c>
      <c r="C235" s="26" t="s">
        <v>63</v>
      </c>
      <c r="D235" s="26" t="str">
        <f aca="false">INDEX(Data_Posts!$N$2:$N$301,MATCH(A235,Data_Posts!$A$2:$A$301,0))</f>
        <v>MyntraFestiveEdit</v>
      </c>
      <c r="E235" s="28" t="n">
        <f aca="false">INDEX(Data_Posts!$P$2:$P$301,MATCH(A235,Data_Posts!$A$2:$A$301,0))</f>
        <v>0.109578667156233</v>
      </c>
      <c r="F235" s="26" t="n">
        <f aca="false">INDEX(Data_Posts!$K$2:$K$301,MATCH(A235,Data_Posts!$A$2:$A$301,0))</f>
        <v>240</v>
      </c>
    </row>
    <row r="236" customFormat="false" ht="15" hidden="false" customHeight="false" outlineLevel="0" collapsed="false">
      <c r="A236" s="26" t="s">
        <v>261</v>
      </c>
      <c r="B236" s="26" t="s">
        <v>39</v>
      </c>
      <c r="C236" s="26" t="s">
        <v>64</v>
      </c>
      <c r="D236" s="26" t="str">
        <f aca="false">INDEX(Data_Posts!$N$2:$N$301,MATCH(A236,Data_Posts!$A$2:$A$301,0))</f>
        <v>StyleRevolution</v>
      </c>
      <c r="E236" s="28" t="n">
        <f aca="false">INDEX(Data_Posts!$P$2:$P$301,MATCH(A236,Data_Posts!$A$2:$A$301,0))</f>
        <v>0.107937172774869</v>
      </c>
      <c r="F236" s="26" t="n">
        <f aca="false">INDEX(Data_Posts!$K$2:$K$301,MATCH(A236,Data_Posts!$A$2:$A$301,0))</f>
        <v>187</v>
      </c>
    </row>
    <row r="237" customFormat="false" ht="15" hidden="false" customHeight="false" outlineLevel="0" collapsed="false">
      <c r="A237" s="26" t="s">
        <v>261</v>
      </c>
      <c r="B237" s="26" t="s">
        <v>39</v>
      </c>
      <c r="C237" s="26" t="s">
        <v>63</v>
      </c>
      <c r="D237" s="26" t="str">
        <f aca="false">INDEX(Data_Posts!$N$2:$N$301,MATCH(A237,Data_Posts!$A$2:$A$301,0))</f>
        <v>StyleRevolution</v>
      </c>
      <c r="E237" s="28" t="n">
        <f aca="false">INDEX(Data_Posts!$P$2:$P$301,MATCH(A237,Data_Posts!$A$2:$A$301,0))</f>
        <v>0.107937172774869</v>
      </c>
      <c r="F237" s="26" t="n">
        <f aca="false">INDEX(Data_Posts!$K$2:$K$301,MATCH(A237,Data_Posts!$A$2:$A$301,0))</f>
        <v>187</v>
      </c>
    </row>
    <row r="238" customFormat="false" ht="15" hidden="false" customHeight="false" outlineLevel="0" collapsed="false">
      <c r="A238" s="26" t="s">
        <v>262</v>
      </c>
      <c r="B238" s="26" t="s">
        <v>37</v>
      </c>
      <c r="C238" s="26" t="s">
        <v>60</v>
      </c>
      <c r="D238" s="26" t="str">
        <f aca="false">INDEX(Data_Posts!$N$2:$N$301,MATCH(A238,Data_Posts!$A$2:$A$301,0))</f>
        <v>EndOfSeasonSale</v>
      </c>
      <c r="E238" s="28" t="n">
        <f aca="false">INDEX(Data_Posts!$P$2:$P$301,MATCH(A238,Data_Posts!$A$2:$A$301,0))</f>
        <v>0.113070811141186</v>
      </c>
      <c r="F238" s="26" t="n">
        <f aca="false">INDEX(Data_Posts!$K$2:$K$301,MATCH(A238,Data_Posts!$A$2:$A$301,0))</f>
        <v>25</v>
      </c>
    </row>
    <row r="239" customFormat="false" ht="15" hidden="false" customHeight="false" outlineLevel="0" collapsed="false">
      <c r="A239" s="26" t="s">
        <v>263</v>
      </c>
      <c r="B239" s="26" t="s">
        <v>36</v>
      </c>
      <c r="C239" s="26" t="s">
        <v>64</v>
      </c>
      <c r="D239" s="26" t="str">
        <f aca="false">INDEX(Data_Posts!$N$2:$N$301,MATCH(A239,Data_Posts!$A$2:$A$301,0))</f>
        <v>EndOfSeasonSale</v>
      </c>
      <c r="E239" s="28" t="n">
        <f aca="false">INDEX(Data_Posts!$P$2:$P$301,MATCH(A239,Data_Posts!$A$2:$A$301,0))</f>
        <v>0.217452830188679</v>
      </c>
      <c r="F239" s="26" t="n">
        <f aca="false">INDEX(Data_Posts!$K$2:$K$301,MATCH(A239,Data_Posts!$A$2:$A$301,0))</f>
        <v>17</v>
      </c>
    </row>
    <row r="240" customFormat="false" ht="15" hidden="false" customHeight="false" outlineLevel="0" collapsed="false">
      <c r="A240" s="26" t="s">
        <v>263</v>
      </c>
      <c r="B240" s="26" t="s">
        <v>36</v>
      </c>
      <c r="C240" s="26" t="s">
        <v>63</v>
      </c>
      <c r="D240" s="26" t="str">
        <f aca="false">INDEX(Data_Posts!$N$2:$N$301,MATCH(A240,Data_Posts!$A$2:$A$301,0))</f>
        <v>EndOfSeasonSale</v>
      </c>
      <c r="E240" s="28" t="n">
        <f aca="false">INDEX(Data_Posts!$P$2:$P$301,MATCH(A240,Data_Posts!$A$2:$A$301,0))</f>
        <v>0.217452830188679</v>
      </c>
      <c r="F240" s="26" t="n">
        <f aca="false">INDEX(Data_Posts!$K$2:$K$301,MATCH(A240,Data_Posts!$A$2:$A$301,0))</f>
        <v>17</v>
      </c>
    </row>
    <row r="241" customFormat="false" ht="15" hidden="false" customHeight="false" outlineLevel="0" collapsed="false">
      <c r="A241" s="26" t="s">
        <v>264</v>
      </c>
      <c r="B241" s="26" t="s">
        <v>38</v>
      </c>
      <c r="C241" s="26" t="s">
        <v>64</v>
      </c>
      <c r="D241" s="26" t="str">
        <f aca="false">INDEX(Data_Posts!$N$2:$N$301,MATCH(A241,Data_Posts!$A$2:$A$301,0))</f>
        <v>StyleRevolution</v>
      </c>
      <c r="E241" s="28" t="n">
        <f aca="false">INDEX(Data_Posts!$P$2:$P$301,MATCH(A241,Data_Posts!$A$2:$A$301,0))</f>
        <v>0.0911378106387349</v>
      </c>
      <c r="F241" s="26" t="n">
        <f aca="false">INDEX(Data_Posts!$K$2:$K$301,MATCH(A241,Data_Posts!$A$2:$A$301,0))</f>
        <v>20</v>
      </c>
    </row>
    <row r="242" customFormat="false" ht="15" hidden="false" customHeight="false" outlineLevel="0" collapsed="false">
      <c r="A242" s="26" t="s">
        <v>265</v>
      </c>
      <c r="B242" s="26" t="s">
        <v>38</v>
      </c>
      <c r="C242" s="26" t="s">
        <v>62</v>
      </c>
      <c r="D242" s="26" t="str">
        <f aca="false">INDEX(Data_Posts!$N$2:$N$301,MATCH(A242,Data_Posts!$A$2:$A$301,0))</f>
        <v>EndOfSeasonSale</v>
      </c>
      <c r="E242" s="28" t="n">
        <f aca="false">INDEX(Data_Posts!$P$2:$P$301,MATCH(A242,Data_Posts!$A$2:$A$301,0))</f>
        <v>0.115081450341566</v>
      </c>
      <c r="F242" s="26" t="n">
        <f aca="false">INDEX(Data_Posts!$K$2:$K$301,MATCH(A242,Data_Posts!$A$2:$A$301,0))</f>
        <v>245</v>
      </c>
    </row>
    <row r="243" customFormat="false" ht="15" hidden="false" customHeight="false" outlineLevel="0" collapsed="false">
      <c r="A243" s="26" t="s">
        <v>266</v>
      </c>
      <c r="B243" s="26" t="s">
        <v>36</v>
      </c>
      <c r="C243" s="26" t="s">
        <v>63</v>
      </c>
      <c r="D243" s="26" t="str">
        <f aca="false">INDEX(Data_Posts!$N$2:$N$301,MATCH(A243,Data_Posts!$A$2:$A$301,0))</f>
        <v>EndOfSeasonSale</v>
      </c>
      <c r="E243" s="28" t="n">
        <f aca="false">INDEX(Data_Posts!$P$2:$P$301,MATCH(A243,Data_Posts!$A$2:$A$301,0))</f>
        <v>0.0866305705955852</v>
      </c>
      <c r="F243" s="26" t="n">
        <f aca="false">INDEX(Data_Posts!$K$2:$K$301,MATCH(A243,Data_Posts!$A$2:$A$301,0))</f>
        <v>120</v>
      </c>
    </row>
    <row r="244" customFormat="false" ht="15" hidden="false" customHeight="false" outlineLevel="0" collapsed="false">
      <c r="A244" s="26" t="s">
        <v>267</v>
      </c>
      <c r="B244" s="26" t="s">
        <v>37</v>
      </c>
      <c r="C244" s="26" t="s">
        <v>61</v>
      </c>
      <c r="D244" s="26" t="str">
        <f aca="false">INDEX(Data_Posts!$N$2:$N$301,MATCH(A244,Data_Posts!$A$2:$A$301,0))</f>
        <v>StyleRevolution</v>
      </c>
      <c r="E244" s="28" t="n">
        <f aca="false">INDEX(Data_Posts!$P$2:$P$301,MATCH(A244,Data_Posts!$A$2:$A$301,0))</f>
        <v>0.231015329926683</v>
      </c>
      <c r="F244" s="26" t="n">
        <f aca="false">INDEX(Data_Posts!$K$2:$K$301,MATCH(A244,Data_Posts!$A$2:$A$301,0))</f>
        <v>132</v>
      </c>
    </row>
    <row r="245" customFormat="false" ht="15" hidden="false" customHeight="false" outlineLevel="0" collapsed="false">
      <c r="A245" s="26" t="s">
        <v>268</v>
      </c>
      <c r="B245" s="26" t="s">
        <v>39</v>
      </c>
      <c r="C245" s="26" t="s">
        <v>60</v>
      </c>
      <c r="D245" s="26" t="str">
        <f aca="false">INDEX(Data_Posts!$N$2:$N$301,MATCH(A245,Data_Posts!$A$2:$A$301,0))</f>
        <v>EndOfSeasonSale</v>
      </c>
      <c r="E245" s="28" t="n">
        <f aca="false">INDEX(Data_Posts!$P$2:$P$301,MATCH(A245,Data_Posts!$A$2:$A$301,0))</f>
        <v>0.153551884880422</v>
      </c>
      <c r="F245" s="26" t="n">
        <f aca="false">INDEX(Data_Posts!$K$2:$K$301,MATCH(A245,Data_Posts!$A$2:$A$301,0))</f>
        <v>169</v>
      </c>
    </row>
    <row r="246" customFormat="false" ht="15" hidden="false" customHeight="false" outlineLevel="0" collapsed="false">
      <c r="A246" s="26" t="s">
        <v>268</v>
      </c>
      <c r="B246" s="26" t="s">
        <v>39</v>
      </c>
      <c r="C246" s="26" t="s">
        <v>64</v>
      </c>
      <c r="D246" s="26" t="str">
        <f aca="false">INDEX(Data_Posts!$N$2:$N$301,MATCH(A246,Data_Posts!$A$2:$A$301,0))</f>
        <v>EndOfSeasonSale</v>
      </c>
      <c r="E246" s="28" t="n">
        <f aca="false">INDEX(Data_Posts!$P$2:$P$301,MATCH(A246,Data_Posts!$A$2:$A$301,0))</f>
        <v>0.153551884880422</v>
      </c>
      <c r="F246" s="26" t="n">
        <f aca="false">INDEX(Data_Posts!$K$2:$K$301,MATCH(A246,Data_Posts!$A$2:$A$301,0))</f>
        <v>169</v>
      </c>
    </row>
    <row r="247" customFormat="false" ht="15" hidden="false" customHeight="false" outlineLevel="0" collapsed="false">
      <c r="A247" s="26" t="s">
        <v>269</v>
      </c>
      <c r="B247" s="26" t="s">
        <v>38</v>
      </c>
      <c r="C247" s="26" t="s">
        <v>63</v>
      </c>
      <c r="D247" s="26" t="str">
        <f aca="false">INDEX(Data_Posts!$N$2:$N$301,MATCH(A247,Data_Posts!$A$2:$A$301,0))</f>
        <v>EndOfSeasonSale</v>
      </c>
      <c r="E247" s="28" t="n">
        <f aca="false">INDEX(Data_Posts!$P$2:$P$301,MATCH(A247,Data_Posts!$A$2:$A$301,0))</f>
        <v>0.15405989502933</v>
      </c>
      <c r="F247" s="26" t="n">
        <f aca="false">INDEX(Data_Posts!$K$2:$K$301,MATCH(A247,Data_Posts!$A$2:$A$301,0))</f>
        <v>230</v>
      </c>
    </row>
    <row r="248" customFormat="false" ht="15" hidden="false" customHeight="false" outlineLevel="0" collapsed="false">
      <c r="A248" s="26" t="s">
        <v>269</v>
      </c>
      <c r="B248" s="26" t="s">
        <v>38</v>
      </c>
      <c r="C248" s="26" t="s">
        <v>64</v>
      </c>
      <c r="D248" s="26" t="str">
        <f aca="false">INDEX(Data_Posts!$N$2:$N$301,MATCH(A248,Data_Posts!$A$2:$A$301,0))</f>
        <v>EndOfSeasonSale</v>
      </c>
      <c r="E248" s="28" t="n">
        <f aca="false">INDEX(Data_Posts!$P$2:$P$301,MATCH(A248,Data_Posts!$A$2:$A$301,0))</f>
        <v>0.15405989502933</v>
      </c>
      <c r="F248" s="26" t="n">
        <f aca="false">INDEX(Data_Posts!$K$2:$K$301,MATCH(A248,Data_Posts!$A$2:$A$301,0))</f>
        <v>230</v>
      </c>
    </row>
    <row r="249" customFormat="false" ht="15" hidden="false" customHeight="false" outlineLevel="0" collapsed="false">
      <c r="A249" s="26" t="s">
        <v>270</v>
      </c>
      <c r="B249" s="26" t="s">
        <v>38</v>
      </c>
      <c r="C249" s="26" t="s">
        <v>60</v>
      </c>
      <c r="D249" s="26" t="str">
        <f aca="false">INDEX(Data_Posts!$N$2:$N$301,MATCH(A249,Data_Posts!$A$2:$A$301,0))</f>
        <v>EndOfSeasonSale</v>
      </c>
      <c r="E249" s="28" t="n">
        <f aca="false">INDEX(Data_Posts!$P$2:$P$301,MATCH(A249,Data_Posts!$A$2:$A$301,0))</f>
        <v>0.143207164582629</v>
      </c>
      <c r="F249" s="26" t="n">
        <f aca="false">INDEX(Data_Posts!$K$2:$K$301,MATCH(A249,Data_Posts!$A$2:$A$301,0))</f>
        <v>104</v>
      </c>
    </row>
    <row r="250" customFormat="false" ht="15" hidden="false" customHeight="false" outlineLevel="0" collapsed="false">
      <c r="A250" s="26" t="s">
        <v>271</v>
      </c>
      <c r="B250" s="26" t="s">
        <v>37</v>
      </c>
      <c r="C250" s="26" t="s">
        <v>62</v>
      </c>
      <c r="D250" s="26" t="str">
        <f aca="false">INDEX(Data_Posts!$N$2:$N$301,MATCH(A250,Data_Posts!$A$2:$A$301,0))</f>
        <v>EndOfSeasonSale</v>
      </c>
      <c r="E250" s="28" t="n">
        <f aca="false">INDEX(Data_Posts!$P$2:$P$301,MATCH(A250,Data_Posts!$A$2:$A$301,0))</f>
        <v>0.0985991755746524</v>
      </c>
      <c r="F250" s="26" t="n">
        <f aca="false">INDEX(Data_Posts!$K$2:$K$301,MATCH(A250,Data_Posts!$A$2:$A$301,0))</f>
        <v>150</v>
      </c>
    </row>
    <row r="251" customFormat="false" ht="15" hidden="false" customHeight="false" outlineLevel="0" collapsed="false">
      <c r="A251" s="26" t="s">
        <v>272</v>
      </c>
      <c r="B251" s="26" t="s">
        <v>36</v>
      </c>
      <c r="C251" s="26" t="s">
        <v>61</v>
      </c>
      <c r="D251" s="26" t="str">
        <f aca="false">INDEX(Data_Posts!$N$2:$N$301,MATCH(A251,Data_Posts!$A$2:$A$301,0))</f>
        <v>StyleRevolution</v>
      </c>
      <c r="E251" s="28" t="n">
        <f aca="false">INDEX(Data_Posts!$P$2:$P$301,MATCH(A251,Data_Posts!$A$2:$A$301,0))</f>
        <v>0.074120025732929</v>
      </c>
      <c r="F251" s="26" t="n">
        <f aca="false">INDEX(Data_Posts!$K$2:$K$301,MATCH(A251,Data_Posts!$A$2:$A$301,0))</f>
        <v>182</v>
      </c>
    </row>
    <row r="252" customFormat="false" ht="15" hidden="false" customHeight="false" outlineLevel="0" collapsed="false">
      <c r="A252" s="26" t="s">
        <v>272</v>
      </c>
      <c r="B252" s="26" t="s">
        <v>36</v>
      </c>
      <c r="C252" s="26" t="s">
        <v>63</v>
      </c>
      <c r="D252" s="26" t="str">
        <f aca="false">INDEX(Data_Posts!$N$2:$N$301,MATCH(A252,Data_Posts!$A$2:$A$301,0))</f>
        <v>StyleRevolution</v>
      </c>
      <c r="E252" s="28" t="n">
        <f aca="false">INDEX(Data_Posts!$P$2:$P$301,MATCH(A252,Data_Posts!$A$2:$A$301,0))</f>
        <v>0.074120025732929</v>
      </c>
      <c r="F252" s="26" t="n">
        <f aca="false">INDEX(Data_Posts!$K$2:$K$301,MATCH(A252,Data_Posts!$A$2:$A$301,0))</f>
        <v>182</v>
      </c>
    </row>
    <row r="253" customFormat="false" ht="15" hidden="false" customHeight="false" outlineLevel="0" collapsed="false">
      <c r="A253" s="26" t="s">
        <v>273</v>
      </c>
      <c r="B253" s="26" t="s">
        <v>39</v>
      </c>
      <c r="C253" s="26" t="s">
        <v>63</v>
      </c>
      <c r="D253" s="26" t="str">
        <f aca="false">INDEX(Data_Posts!$N$2:$N$301,MATCH(A253,Data_Posts!$A$2:$A$301,0))</f>
        <v>MyntraFestiveEdit</v>
      </c>
      <c r="E253" s="28" t="n">
        <f aca="false">INDEX(Data_Posts!$P$2:$P$301,MATCH(A253,Data_Posts!$A$2:$A$301,0))</f>
        <v>0.124908841632391</v>
      </c>
      <c r="F253" s="26" t="n">
        <f aca="false">INDEX(Data_Posts!$K$2:$K$301,MATCH(A253,Data_Posts!$A$2:$A$301,0))</f>
        <v>83</v>
      </c>
    </row>
    <row r="254" customFormat="false" ht="15" hidden="false" customHeight="false" outlineLevel="0" collapsed="false">
      <c r="A254" s="26" t="s">
        <v>274</v>
      </c>
      <c r="B254" s="26" t="s">
        <v>38</v>
      </c>
      <c r="C254" s="26" t="s">
        <v>64</v>
      </c>
      <c r="D254" s="26" t="str">
        <f aca="false">INDEX(Data_Posts!$N$2:$N$301,MATCH(A254,Data_Posts!$A$2:$A$301,0))</f>
        <v>StyleRevolution</v>
      </c>
      <c r="E254" s="28" t="n">
        <f aca="false">INDEX(Data_Posts!$P$2:$P$301,MATCH(A254,Data_Posts!$A$2:$A$301,0))</f>
        <v>0.0686550034577638</v>
      </c>
      <c r="F254" s="26" t="n">
        <f aca="false">INDEX(Data_Posts!$K$2:$K$301,MATCH(A254,Data_Posts!$A$2:$A$301,0))</f>
        <v>53</v>
      </c>
    </row>
    <row r="255" customFormat="false" ht="15" hidden="false" customHeight="false" outlineLevel="0" collapsed="false">
      <c r="A255" s="26" t="s">
        <v>274</v>
      </c>
      <c r="B255" s="26" t="s">
        <v>38</v>
      </c>
      <c r="C255" s="26" t="s">
        <v>63</v>
      </c>
      <c r="D255" s="26" t="str">
        <f aca="false">INDEX(Data_Posts!$N$2:$N$301,MATCH(A255,Data_Posts!$A$2:$A$301,0))</f>
        <v>StyleRevolution</v>
      </c>
      <c r="E255" s="28" t="n">
        <f aca="false">INDEX(Data_Posts!$P$2:$P$301,MATCH(A255,Data_Posts!$A$2:$A$301,0))</f>
        <v>0.0686550034577638</v>
      </c>
      <c r="F255" s="26" t="n">
        <f aca="false">INDEX(Data_Posts!$K$2:$K$301,MATCH(A255,Data_Posts!$A$2:$A$301,0))</f>
        <v>53</v>
      </c>
    </row>
    <row r="256" customFormat="false" ht="15" hidden="false" customHeight="false" outlineLevel="0" collapsed="false">
      <c r="A256" s="26" t="s">
        <v>275</v>
      </c>
      <c r="B256" s="26" t="s">
        <v>39</v>
      </c>
      <c r="C256" s="26" t="s">
        <v>62</v>
      </c>
      <c r="D256" s="26" t="str">
        <f aca="false">INDEX(Data_Posts!$N$2:$N$301,MATCH(A256,Data_Posts!$A$2:$A$301,0))</f>
        <v>StyleRevolution</v>
      </c>
      <c r="E256" s="28" t="n">
        <f aca="false">INDEX(Data_Posts!$P$2:$P$301,MATCH(A256,Data_Posts!$A$2:$A$301,0))</f>
        <v>0.098068107400131</v>
      </c>
      <c r="F256" s="26" t="n">
        <f aca="false">INDEX(Data_Posts!$K$2:$K$301,MATCH(A256,Data_Posts!$A$2:$A$301,0))</f>
        <v>38</v>
      </c>
    </row>
    <row r="257" customFormat="false" ht="15" hidden="false" customHeight="false" outlineLevel="0" collapsed="false">
      <c r="A257" s="26" t="s">
        <v>275</v>
      </c>
      <c r="B257" s="26" t="s">
        <v>39</v>
      </c>
      <c r="C257" s="26" t="s">
        <v>61</v>
      </c>
      <c r="D257" s="26" t="str">
        <f aca="false">INDEX(Data_Posts!$N$2:$N$301,MATCH(A257,Data_Posts!$A$2:$A$301,0))</f>
        <v>StyleRevolution</v>
      </c>
      <c r="E257" s="28" t="n">
        <f aca="false">INDEX(Data_Posts!$P$2:$P$301,MATCH(A257,Data_Posts!$A$2:$A$301,0))</f>
        <v>0.098068107400131</v>
      </c>
      <c r="F257" s="26" t="n">
        <f aca="false">INDEX(Data_Posts!$K$2:$K$301,MATCH(A257,Data_Posts!$A$2:$A$301,0))</f>
        <v>38</v>
      </c>
    </row>
    <row r="258" customFormat="false" ht="15" hidden="false" customHeight="false" outlineLevel="0" collapsed="false">
      <c r="A258" s="26" t="s">
        <v>276</v>
      </c>
      <c r="B258" s="26" t="s">
        <v>36</v>
      </c>
      <c r="C258" s="26" t="s">
        <v>61</v>
      </c>
      <c r="D258" s="26" t="str">
        <f aca="false">INDEX(Data_Posts!$N$2:$N$301,MATCH(A258,Data_Posts!$A$2:$A$301,0))</f>
        <v>StyleRevolution</v>
      </c>
      <c r="E258" s="28" t="n">
        <f aca="false">INDEX(Data_Posts!$P$2:$P$301,MATCH(A258,Data_Posts!$A$2:$A$301,0))</f>
        <v>0.0727398020711702</v>
      </c>
      <c r="F258" s="26" t="n">
        <f aca="false">INDEX(Data_Posts!$K$2:$K$301,MATCH(A258,Data_Posts!$A$2:$A$301,0))</f>
        <v>246</v>
      </c>
    </row>
    <row r="259" customFormat="false" ht="15" hidden="false" customHeight="false" outlineLevel="0" collapsed="false">
      <c r="A259" s="26" t="s">
        <v>276</v>
      </c>
      <c r="B259" s="26" t="s">
        <v>36</v>
      </c>
      <c r="C259" s="26" t="s">
        <v>64</v>
      </c>
      <c r="D259" s="26" t="str">
        <f aca="false">INDEX(Data_Posts!$N$2:$N$301,MATCH(A259,Data_Posts!$A$2:$A$301,0))</f>
        <v>StyleRevolution</v>
      </c>
      <c r="E259" s="28" t="n">
        <f aca="false">INDEX(Data_Posts!$P$2:$P$301,MATCH(A259,Data_Posts!$A$2:$A$301,0))</f>
        <v>0.0727398020711702</v>
      </c>
      <c r="F259" s="26" t="n">
        <f aca="false">INDEX(Data_Posts!$K$2:$K$301,MATCH(A259,Data_Posts!$A$2:$A$301,0))</f>
        <v>246</v>
      </c>
    </row>
    <row r="260" customFormat="false" ht="15" hidden="false" customHeight="false" outlineLevel="0" collapsed="false">
      <c r="A260" s="26" t="s">
        <v>277</v>
      </c>
      <c r="B260" s="26" t="s">
        <v>38</v>
      </c>
      <c r="C260" s="26" t="s">
        <v>60</v>
      </c>
      <c r="D260" s="26" t="str">
        <f aca="false">INDEX(Data_Posts!$N$2:$N$301,MATCH(A260,Data_Posts!$A$2:$A$301,0))</f>
        <v>StyleRevolution</v>
      </c>
      <c r="E260" s="28" t="n">
        <f aca="false">INDEX(Data_Posts!$P$2:$P$301,MATCH(A260,Data_Posts!$A$2:$A$301,0))</f>
        <v>0.143483709273183</v>
      </c>
      <c r="F260" s="26" t="n">
        <f aca="false">INDEX(Data_Posts!$K$2:$K$301,MATCH(A260,Data_Posts!$A$2:$A$301,0))</f>
        <v>229</v>
      </c>
    </row>
    <row r="261" customFormat="false" ht="15" hidden="false" customHeight="false" outlineLevel="0" collapsed="false">
      <c r="A261" s="26" t="s">
        <v>277</v>
      </c>
      <c r="B261" s="26" t="s">
        <v>38</v>
      </c>
      <c r="C261" s="26" t="s">
        <v>63</v>
      </c>
      <c r="D261" s="26" t="str">
        <f aca="false">INDEX(Data_Posts!$N$2:$N$301,MATCH(A261,Data_Posts!$A$2:$A$301,0))</f>
        <v>StyleRevolution</v>
      </c>
      <c r="E261" s="28" t="n">
        <f aca="false">INDEX(Data_Posts!$P$2:$P$301,MATCH(A261,Data_Posts!$A$2:$A$301,0))</f>
        <v>0.143483709273183</v>
      </c>
      <c r="F261" s="26" t="n">
        <f aca="false">INDEX(Data_Posts!$K$2:$K$301,MATCH(A261,Data_Posts!$A$2:$A$301,0))</f>
        <v>229</v>
      </c>
    </row>
    <row r="262" customFormat="false" ht="15" hidden="false" customHeight="false" outlineLevel="0" collapsed="false">
      <c r="A262" s="26" t="s">
        <v>278</v>
      </c>
      <c r="B262" s="26" t="s">
        <v>36</v>
      </c>
      <c r="C262" s="26" t="s">
        <v>62</v>
      </c>
      <c r="D262" s="26" t="str">
        <f aca="false">INDEX(Data_Posts!$N$2:$N$301,MATCH(A262,Data_Posts!$A$2:$A$301,0))</f>
        <v>StyleRevolution</v>
      </c>
      <c r="E262" s="28" t="n">
        <f aca="false">INDEX(Data_Posts!$P$2:$P$301,MATCH(A262,Data_Posts!$A$2:$A$301,0))</f>
        <v>0.138094305120167</v>
      </c>
      <c r="F262" s="26" t="n">
        <f aca="false">INDEX(Data_Posts!$K$2:$K$301,MATCH(A262,Data_Posts!$A$2:$A$301,0))</f>
        <v>235</v>
      </c>
    </row>
    <row r="263" customFormat="false" ht="15" hidden="false" customHeight="false" outlineLevel="0" collapsed="false">
      <c r="A263" s="26" t="s">
        <v>278</v>
      </c>
      <c r="B263" s="26" t="s">
        <v>36</v>
      </c>
      <c r="C263" s="26" t="s">
        <v>64</v>
      </c>
      <c r="D263" s="26" t="str">
        <f aca="false">INDEX(Data_Posts!$N$2:$N$301,MATCH(A263,Data_Posts!$A$2:$A$301,0))</f>
        <v>StyleRevolution</v>
      </c>
      <c r="E263" s="28" t="n">
        <f aca="false">INDEX(Data_Posts!$P$2:$P$301,MATCH(A263,Data_Posts!$A$2:$A$301,0))</f>
        <v>0.138094305120167</v>
      </c>
      <c r="F263" s="26" t="n">
        <f aca="false">INDEX(Data_Posts!$K$2:$K$301,MATCH(A263,Data_Posts!$A$2:$A$301,0))</f>
        <v>235</v>
      </c>
    </row>
    <row r="264" customFormat="false" ht="15" hidden="false" customHeight="false" outlineLevel="0" collapsed="false">
      <c r="A264" s="26" t="s">
        <v>279</v>
      </c>
      <c r="B264" s="26" t="s">
        <v>37</v>
      </c>
      <c r="C264" s="26" t="s">
        <v>62</v>
      </c>
      <c r="D264" s="26" t="str">
        <f aca="false">INDEX(Data_Posts!$N$2:$N$301,MATCH(A264,Data_Posts!$A$2:$A$301,0))</f>
        <v>FashionUpgrade</v>
      </c>
      <c r="E264" s="28" t="n">
        <f aca="false">INDEX(Data_Posts!$P$2:$P$301,MATCH(A264,Data_Posts!$A$2:$A$301,0))</f>
        <v>0.650821596244132</v>
      </c>
      <c r="F264" s="26" t="n">
        <f aca="false">INDEX(Data_Posts!$K$2:$K$301,MATCH(A264,Data_Posts!$A$2:$A$301,0))</f>
        <v>154</v>
      </c>
    </row>
    <row r="265" customFormat="false" ht="15" hidden="false" customHeight="false" outlineLevel="0" collapsed="false">
      <c r="A265" s="26" t="s">
        <v>280</v>
      </c>
      <c r="B265" s="26" t="s">
        <v>36</v>
      </c>
      <c r="C265" s="26" t="s">
        <v>61</v>
      </c>
      <c r="D265" s="26" t="str">
        <f aca="false">INDEX(Data_Posts!$N$2:$N$301,MATCH(A265,Data_Posts!$A$2:$A$301,0))</f>
        <v>EndOfSeasonSale</v>
      </c>
      <c r="E265" s="28" t="n">
        <f aca="false">INDEX(Data_Posts!$P$2:$P$301,MATCH(A265,Data_Posts!$A$2:$A$301,0))</f>
        <v>0.0540810953133228</v>
      </c>
      <c r="F265" s="26" t="n">
        <f aca="false">INDEX(Data_Posts!$K$2:$K$301,MATCH(A265,Data_Posts!$A$2:$A$301,0))</f>
        <v>266</v>
      </c>
    </row>
    <row r="266" customFormat="false" ht="15" hidden="false" customHeight="false" outlineLevel="0" collapsed="false">
      <c r="A266" s="26" t="s">
        <v>281</v>
      </c>
      <c r="B266" s="26" t="s">
        <v>37</v>
      </c>
      <c r="C266" s="26" t="s">
        <v>60</v>
      </c>
      <c r="D266" s="26" t="str">
        <f aca="false">INDEX(Data_Posts!$N$2:$N$301,MATCH(A266,Data_Posts!$A$2:$A$301,0))</f>
        <v>StyleRevolution</v>
      </c>
      <c r="E266" s="28" t="n">
        <f aca="false">INDEX(Data_Posts!$P$2:$P$301,MATCH(A266,Data_Posts!$A$2:$A$301,0))</f>
        <v>0.091365878393952</v>
      </c>
      <c r="F266" s="26" t="n">
        <f aca="false">INDEX(Data_Posts!$K$2:$K$301,MATCH(A266,Data_Posts!$A$2:$A$301,0))</f>
        <v>52</v>
      </c>
    </row>
    <row r="267" customFormat="false" ht="15" hidden="false" customHeight="false" outlineLevel="0" collapsed="false">
      <c r="A267" s="26" t="s">
        <v>282</v>
      </c>
      <c r="B267" s="26" t="s">
        <v>37</v>
      </c>
      <c r="C267" s="26" t="s">
        <v>64</v>
      </c>
      <c r="D267" s="26" t="str">
        <f aca="false">INDEX(Data_Posts!$N$2:$N$301,MATCH(A267,Data_Posts!$A$2:$A$301,0))</f>
        <v>StyleRevolution</v>
      </c>
      <c r="E267" s="28" t="n">
        <f aca="false">INDEX(Data_Posts!$P$2:$P$301,MATCH(A267,Data_Posts!$A$2:$A$301,0))</f>
        <v>0.703875968992248</v>
      </c>
      <c r="F267" s="26" t="n">
        <f aca="false">INDEX(Data_Posts!$K$2:$K$301,MATCH(A267,Data_Posts!$A$2:$A$301,0))</f>
        <v>238</v>
      </c>
    </row>
    <row r="268" customFormat="false" ht="15" hidden="false" customHeight="false" outlineLevel="0" collapsed="false">
      <c r="A268" s="26" t="s">
        <v>282</v>
      </c>
      <c r="B268" s="26" t="s">
        <v>37</v>
      </c>
      <c r="C268" s="26" t="s">
        <v>60</v>
      </c>
      <c r="D268" s="26" t="str">
        <f aca="false">INDEX(Data_Posts!$N$2:$N$301,MATCH(A268,Data_Posts!$A$2:$A$301,0))</f>
        <v>StyleRevolution</v>
      </c>
      <c r="E268" s="28" t="n">
        <f aca="false">INDEX(Data_Posts!$P$2:$P$301,MATCH(A268,Data_Posts!$A$2:$A$301,0))</f>
        <v>0.703875968992248</v>
      </c>
      <c r="F268" s="26" t="n">
        <f aca="false">INDEX(Data_Posts!$K$2:$K$301,MATCH(A268,Data_Posts!$A$2:$A$301,0))</f>
        <v>238</v>
      </c>
    </row>
    <row r="269" customFormat="false" ht="15" hidden="false" customHeight="false" outlineLevel="0" collapsed="false">
      <c r="A269" s="26" t="s">
        <v>283</v>
      </c>
      <c r="B269" s="26" t="s">
        <v>36</v>
      </c>
      <c r="C269" s="26" t="s">
        <v>64</v>
      </c>
      <c r="D269" s="26" t="str">
        <f aca="false">INDEX(Data_Posts!$N$2:$N$301,MATCH(A269,Data_Posts!$A$2:$A$301,0))</f>
        <v>FashionUpgrade</v>
      </c>
      <c r="E269" s="28" t="n">
        <f aca="false">INDEX(Data_Posts!$P$2:$P$301,MATCH(A269,Data_Posts!$A$2:$A$301,0))</f>
        <v>0.0752804810016736</v>
      </c>
      <c r="F269" s="26" t="n">
        <f aca="false">INDEX(Data_Posts!$K$2:$K$301,MATCH(A269,Data_Posts!$A$2:$A$301,0))</f>
        <v>292</v>
      </c>
    </row>
    <row r="270" customFormat="false" ht="15" hidden="false" customHeight="false" outlineLevel="0" collapsed="false">
      <c r="A270" s="26" t="s">
        <v>284</v>
      </c>
      <c r="B270" s="26" t="s">
        <v>39</v>
      </c>
      <c r="C270" s="26" t="s">
        <v>64</v>
      </c>
      <c r="D270" s="26" t="str">
        <f aca="false">INDEX(Data_Posts!$N$2:$N$301,MATCH(A270,Data_Posts!$A$2:$A$301,0))</f>
        <v>StyleRevolution</v>
      </c>
      <c r="E270" s="28" t="n">
        <f aca="false">INDEX(Data_Posts!$P$2:$P$301,MATCH(A270,Data_Posts!$A$2:$A$301,0))</f>
        <v>0.0902307070455817</v>
      </c>
      <c r="F270" s="26" t="n">
        <f aca="false">INDEX(Data_Posts!$K$2:$K$301,MATCH(A270,Data_Posts!$A$2:$A$301,0))</f>
        <v>11</v>
      </c>
    </row>
    <row r="271" customFormat="false" ht="15" hidden="false" customHeight="false" outlineLevel="0" collapsed="false">
      <c r="A271" s="26" t="s">
        <v>284</v>
      </c>
      <c r="B271" s="26" t="s">
        <v>39</v>
      </c>
      <c r="C271" s="26" t="s">
        <v>60</v>
      </c>
      <c r="D271" s="26" t="str">
        <f aca="false">INDEX(Data_Posts!$N$2:$N$301,MATCH(A271,Data_Posts!$A$2:$A$301,0))</f>
        <v>StyleRevolution</v>
      </c>
      <c r="E271" s="28" t="n">
        <f aca="false">INDEX(Data_Posts!$P$2:$P$301,MATCH(A271,Data_Posts!$A$2:$A$301,0))</f>
        <v>0.0902307070455817</v>
      </c>
      <c r="F271" s="26" t="n">
        <f aca="false">INDEX(Data_Posts!$K$2:$K$301,MATCH(A271,Data_Posts!$A$2:$A$301,0))</f>
        <v>11</v>
      </c>
    </row>
    <row r="272" customFormat="false" ht="15" hidden="false" customHeight="false" outlineLevel="0" collapsed="false">
      <c r="A272" s="26" t="s">
        <v>285</v>
      </c>
      <c r="B272" s="26" t="s">
        <v>39</v>
      </c>
      <c r="C272" s="26" t="s">
        <v>62</v>
      </c>
      <c r="D272" s="26" t="str">
        <f aca="false">INDEX(Data_Posts!$N$2:$N$301,MATCH(A272,Data_Posts!$A$2:$A$301,0))</f>
        <v>EndOfSeasonSale</v>
      </c>
      <c r="E272" s="28" t="n">
        <f aca="false">INDEX(Data_Posts!$P$2:$P$301,MATCH(A272,Data_Posts!$A$2:$A$301,0))</f>
        <v>0.236735211982737</v>
      </c>
      <c r="F272" s="26" t="n">
        <f aca="false">INDEX(Data_Posts!$K$2:$K$301,MATCH(A272,Data_Posts!$A$2:$A$301,0))</f>
        <v>239</v>
      </c>
    </row>
    <row r="273" customFormat="false" ht="15" hidden="false" customHeight="false" outlineLevel="0" collapsed="false">
      <c r="A273" s="26" t="s">
        <v>286</v>
      </c>
      <c r="B273" s="26" t="s">
        <v>36</v>
      </c>
      <c r="C273" s="26" t="s">
        <v>60</v>
      </c>
      <c r="D273" s="26" t="str">
        <f aca="false">INDEX(Data_Posts!$N$2:$N$301,MATCH(A273,Data_Posts!$A$2:$A$301,0))</f>
        <v>FashionUpgrade</v>
      </c>
      <c r="E273" s="28" t="n">
        <f aca="false">INDEX(Data_Posts!$P$2:$P$301,MATCH(A273,Data_Posts!$A$2:$A$301,0))</f>
        <v>0.101320304775199</v>
      </c>
      <c r="F273" s="26" t="n">
        <f aca="false">INDEX(Data_Posts!$K$2:$K$301,MATCH(A273,Data_Posts!$A$2:$A$301,0))</f>
        <v>173</v>
      </c>
    </row>
    <row r="274" customFormat="false" ht="15" hidden="false" customHeight="false" outlineLevel="0" collapsed="false">
      <c r="A274" s="26" t="s">
        <v>287</v>
      </c>
      <c r="B274" s="26" t="s">
        <v>37</v>
      </c>
      <c r="C274" s="26" t="s">
        <v>64</v>
      </c>
      <c r="D274" s="26" t="str">
        <f aca="false">INDEX(Data_Posts!$N$2:$N$301,MATCH(A274,Data_Posts!$A$2:$A$301,0))</f>
        <v>EndOfSeasonSale</v>
      </c>
      <c r="E274" s="28" t="n">
        <f aca="false">INDEX(Data_Posts!$P$2:$P$301,MATCH(A274,Data_Posts!$A$2:$A$301,0))</f>
        <v>0.286965811965812</v>
      </c>
      <c r="F274" s="26" t="n">
        <f aca="false">INDEX(Data_Posts!$K$2:$K$301,MATCH(A274,Data_Posts!$A$2:$A$301,0))</f>
        <v>208</v>
      </c>
    </row>
    <row r="275" customFormat="false" ht="15" hidden="false" customHeight="false" outlineLevel="0" collapsed="false">
      <c r="A275" s="26" t="s">
        <v>287</v>
      </c>
      <c r="B275" s="26" t="s">
        <v>37</v>
      </c>
      <c r="C275" s="26" t="s">
        <v>60</v>
      </c>
      <c r="D275" s="26" t="str">
        <f aca="false">INDEX(Data_Posts!$N$2:$N$301,MATCH(A275,Data_Posts!$A$2:$A$301,0))</f>
        <v>EndOfSeasonSale</v>
      </c>
      <c r="E275" s="28" t="n">
        <f aca="false">INDEX(Data_Posts!$P$2:$P$301,MATCH(A275,Data_Posts!$A$2:$A$301,0))</f>
        <v>0.286965811965812</v>
      </c>
      <c r="F275" s="26" t="n">
        <f aca="false">INDEX(Data_Posts!$K$2:$K$301,MATCH(A275,Data_Posts!$A$2:$A$301,0))</f>
        <v>208</v>
      </c>
    </row>
    <row r="276" customFormat="false" ht="15" hidden="false" customHeight="false" outlineLevel="0" collapsed="false">
      <c r="A276" s="26" t="s">
        <v>288</v>
      </c>
      <c r="B276" s="26" t="s">
        <v>38</v>
      </c>
      <c r="C276" s="26" t="s">
        <v>64</v>
      </c>
      <c r="D276" s="26" t="str">
        <f aca="false">INDEX(Data_Posts!$N$2:$N$301,MATCH(A276,Data_Posts!$A$2:$A$301,0))</f>
        <v>MyntraFestiveEdit</v>
      </c>
      <c r="E276" s="28" t="n">
        <f aca="false">INDEX(Data_Posts!$P$2:$P$301,MATCH(A276,Data_Posts!$A$2:$A$301,0))</f>
        <v>0.136143079315708</v>
      </c>
      <c r="F276" s="26" t="n">
        <f aca="false">INDEX(Data_Posts!$K$2:$K$301,MATCH(A276,Data_Posts!$A$2:$A$301,0))</f>
        <v>251</v>
      </c>
    </row>
    <row r="277" customFormat="false" ht="15" hidden="false" customHeight="false" outlineLevel="0" collapsed="false">
      <c r="A277" s="26" t="s">
        <v>289</v>
      </c>
      <c r="B277" s="26" t="s">
        <v>37</v>
      </c>
      <c r="C277" s="26" t="s">
        <v>62</v>
      </c>
      <c r="D277" s="26" t="str">
        <f aca="false">INDEX(Data_Posts!$N$2:$N$301,MATCH(A277,Data_Posts!$A$2:$A$301,0))</f>
        <v>StyleRevolution</v>
      </c>
      <c r="E277" s="28" t="n">
        <f aca="false">INDEX(Data_Posts!$P$2:$P$301,MATCH(A277,Data_Posts!$A$2:$A$301,0))</f>
        <v>0.0952907362370108</v>
      </c>
      <c r="F277" s="26" t="n">
        <f aca="false">INDEX(Data_Posts!$K$2:$K$301,MATCH(A277,Data_Posts!$A$2:$A$301,0))</f>
        <v>71</v>
      </c>
    </row>
    <row r="278" customFormat="false" ht="15" hidden="false" customHeight="false" outlineLevel="0" collapsed="false">
      <c r="A278" s="26" t="s">
        <v>289</v>
      </c>
      <c r="B278" s="26" t="s">
        <v>37</v>
      </c>
      <c r="C278" s="26" t="s">
        <v>63</v>
      </c>
      <c r="D278" s="26" t="str">
        <f aca="false">INDEX(Data_Posts!$N$2:$N$301,MATCH(A278,Data_Posts!$A$2:$A$301,0))</f>
        <v>StyleRevolution</v>
      </c>
      <c r="E278" s="28" t="n">
        <f aca="false">INDEX(Data_Posts!$P$2:$P$301,MATCH(A278,Data_Posts!$A$2:$A$301,0))</f>
        <v>0.0952907362370108</v>
      </c>
      <c r="F278" s="26" t="n">
        <f aca="false">INDEX(Data_Posts!$K$2:$K$301,MATCH(A278,Data_Posts!$A$2:$A$301,0))</f>
        <v>71</v>
      </c>
    </row>
    <row r="279" customFormat="false" ht="15" hidden="false" customHeight="false" outlineLevel="0" collapsed="false">
      <c r="A279" s="26" t="s">
        <v>290</v>
      </c>
      <c r="B279" s="26" t="s">
        <v>36</v>
      </c>
      <c r="C279" s="26" t="s">
        <v>63</v>
      </c>
      <c r="D279" s="26" t="str">
        <f aca="false">INDEX(Data_Posts!$N$2:$N$301,MATCH(A279,Data_Posts!$A$2:$A$301,0))</f>
        <v>FashionUpgrade</v>
      </c>
      <c r="E279" s="28" t="n">
        <f aca="false">INDEX(Data_Posts!$P$2:$P$301,MATCH(A279,Data_Posts!$A$2:$A$301,0))</f>
        <v>0.084862714173059</v>
      </c>
      <c r="F279" s="26" t="n">
        <f aca="false">INDEX(Data_Posts!$K$2:$K$301,MATCH(A279,Data_Posts!$A$2:$A$301,0))</f>
        <v>264</v>
      </c>
    </row>
    <row r="280" customFormat="false" ht="15" hidden="false" customHeight="false" outlineLevel="0" collapsed="false">
      <c r="A280" s="26" t="s">
        <v>290</v>
      </c>
      <c r="B280" s="26" t="s">
        <v>36</v>
      </c>
      <c r="C280" s="26" t="s">
        <v>64</v>
      </c>
      <c r="D280" s="26" t="str">
        <f aca="false">INDEX(Data_Posts!$N$2:$N$301,MATCH(A280,Data_Posts!$A$2:$A$301,0))</f>
        <v>FashionUpgrade</v>
      </c>
      <c r="E280" s="28" t="n">
        <f aca="false">INDEX(Data_Posts!$P$2:$P$301,MATCH(A280,Data_Posts!$A$2:$A$301,0))</f>
        <v>0.084862714173059</v>
      </c>
      <c r="F280" s="26" t="n">
        <f aca="false">INDEX(Data_Posts!$K$2:$K$301,MATCH(A280,Data_Posts!$A$2:$A$301,0))</f>
        <v>264</v>
      </c>
    </row>
    <row r="281" customFormat="false" ht="15" hidden="false" customHeight="false" outlineLevel="0" collapsed="false">
      <c r="A281" s="26" t="s">
        <v>291</v>
      </c>
      <c r="B281" s="26" t="s">
        <v>38</v>
      </c>
      <c r="C281" s="26" t="s">
        <v>62</v>
      </c>
      <c r="D281" s="26" t="str">
        <f aca="false">INDEX(Data_Posts!$N$2:$N$301,MATCH(A281,Data_Posts!$A$2:$A$301,0))</f>
        <v>FashionUpgrade</v>
      </c>
      <c r="E281" s="28" t="n">
        <f aca="false">INDEX(Data_Posts!$P$2:$P$301,MATCH(A281,Data_Posts!$A$2:$A$301,0))</f>
        <v>0.0837269214255045</v>
      </c>
      <c r="F281" s="26" t="n">
        <f aca="false">INDEX(Data_Posts!$K$2:$K$301,MATCH(A281,Data_Posts!$A$2:$A$301,0))</f>
        <v>300</v>
      </c>
    </row>
    <row r="282" customFormat="false" ht="15" hidden="false" customHeight="false" outlineLevel="0" collapsed="false">
      <c r="A282" s="26" t="s">
        <v>291</v>
      </c>
      <c r="B282" s="26" t="s">
        <v>38</v>
      </c>
      <c r="C282" s="26" t="s">
        <v>63</v>
      </c>
      <c r="D282" s="26" t="str">
        <f aca="false">INDEX(Data_Posts!$N$2:$N$301,MATCH(A282,Data_Posts!$A$2:$A$301,0))</f>
        <v>FashionUpgrade</v>
      </c>
      <c r="E282" s="28" t="n">
        <f aca="false">INDEX(Data_Posts!$P$2:$P$301,MATCH(A282,Data_Posts!$A$2:$A$301,0))</f>
        <v>0.0837269214255045</v>
      </c>
      <c r="F282" s="26" t="n">
        <f aca="false">INDEX(Data_Posts!$K$2:$K$301,MATCH(A282,Data_Posts!$A$2:$A$301,0))</f>
        <v>300</v>
      </c>
    </row>
    <row r="283" customFormat="false" ht="15" hidden="false" customHeight="false" outlineLevel="0" collapsed="false">
      <c r="A283" s="26" t="s">
        <v>292</v>
      </c>
      <c r="B283" s="26" t="s">
        <v>39</v>
      </c>
      <c r="C283" s="26" t="s">
        <v>62</v>
      </c>
      <c r="D283" s="26" t="str">
        <f aca="false">INDEX(Data_Posts!$N$2:$N$301,MATCH(A283,Data_Posts!$A$2:$A$301,0))</f>
        <v>EndOfSeasonSale</v>
      </c>
      <c r="E283" s="28" t="n">
        <f aca="false">INDEX(Data_Posts!$P$2:$P$301,MATCH(A283,Data_Posts!$A$2:$A$301,0))</f>
        <v>0.0849462365591398</v>
      </c>
      <c r="F283" s="26" t="n">
        <f aca="false">INDEX(Data_Posts!$K$2:$K$301,MATCH(A283,Data_Posts!$A$2:$A$301,0))</f>
        <v>137</v>
      </c>
    </row>
    <row r="284" customFormat="false" ht="15" hidden="false" customHeight="false" outlineLevel="0" collapsed="false">
      <c r="A284" s="26" t="s">
        <v>293</v>
      </c>
      <c r="B284" s="26" t="s">
        <v>36</v>
      </c>
      <c r="C284" s="26" t="s">
        <v>62</v>
      </c>
      <c r="D284" s="26" t="str">
        <f aca="false">INDEX(Data_Posts!$N$2:$N$301,MATCH(A284,Data_Posts!$A$2:$A$301,0))</f>
        <v>FashionUpgrade</v>
      </c>
      <c r="E284" s="28" t="n">
        <f aca="false">INDEX(Data_Posts!$P$2:$P$301,MATCH(A284,Data_Posts!$A$2:$A$301,0))</f>
        <v>0.0725033068783069</v>
      </c>
      <c r="F284" s="26" t="n">
        <f aca="false">INDEX(Data_Posts!$K$2:$K$301,MATCH(A284,Data_Posts!$A$2:$A$301,0))</f>
        <v>192</v>
      </c>
    </row>
    <row r="285" customFormat="false" ht="15" hidden="false" customHeight="false" outlineLevel="0" collapsed="false">
      <c r="A285" s="26" t="s">
        <v>293</v>
      </c>
      <c r="B285" s="26" t="s">
        <v>36</v>
      </c>
      <c r="C285" s="26" t="s">
        <v>64</v>
      </c>
      <c r="D285" s="26" t="str">
        <f aca="false">INDEX(Data_Posts!$N$2:$N$301,MATCH(A285,Data_Posts!$A$2:$A$301,0))</f>
        <v>FashionUpgrade</v>
      </c>
      <c r="E285" s="28" t="n">
        <f aca="false">INDEX(Data_Posts!$P$2:$P$301,MATCH(A285,Data_Posts!$A$2:$A$301,0))</f>
        <v>0.0725033068783069</v>
      </c>
      <c r="F285" s="26" t="n">
        <f aca="false">INDEX(Data_Posts!$K$2:$K$301,MATCH(A285,Data_Posts!$A$2:$A$301,0))</f>
        <v>192</v>
      </c>
    </row>
    <row r="286" customFormat="false" ht="15" hidden="false" customHeight="false" outlineLevel="0" collapsed="false">
      <c r="A286" s="26" t="s">
        <v>294</v>
      </c>
      <c r="B286" s="26" t="s">
        <v>39</v>
      </c>
      <c r="C286" s="26" t="s">
        <v>64</v>
      </c>
      <c r="D286" s="26" t="str">
        <f aca="false">INDEX(Data_Posts!$N$2:$N$301,MATCH(A286,Data_Posts!$A$2:$A$301,0))</f>
        <v>FashionUpgrade</v>
      </c>
      <c r="E286" s="28" t="n">
        <f aca="false">INDEX(Data_Posts!$P$2:$P$301,MATCH(A286,Data_Posts!$A$2:$A$301,0))</f>
        <v>0.0559093224656139</v>
      </c>
      <c r="F286" s="26" t="n">
        <f aca="false">INDEX(Data_Posts!$K$2:$K$301,MATCH(A286,Data_Posts!$A$2:$A$301,0))</f>
        <v>145</v>
      </c>
    </row>
    <row r="287" customFormat="false" ht="15" hidden="false" customHeight="false" outlineLevel="0" collapsed="false">
      <c r="A287" s="26" t="s">
        <v>295</v>
      </c>
      <c r="B287" s="26" t="s">
        <v>39</v>
      </c>
      <c r="C287" s="26" t="s">
        <v>61</v>
      </c>
      <c r="D287" s="26" t="str">
        <f aca="false">INDEX(Data_Posts!$N$2:$N$301,MATCH(A287,Data_Posts!$A$2:$A$301,0))</f>
        <v>StyleRevolution</v>
      </c>
      <c r="E287" s="28" t="n">
        <f aca="false">INDEX(Data_Posts!$P$2:$P$301,MATCH(A287,Data_Posts!$A$2:$A$301,0))</f>
        <v>0.0995781348173414</v>
      </c>
      <c r="F287" s="26" t="n">
        <f aca="false">INDEX(Data_Posts!$K$2:$K$301,MATCH(A287,Data_Posts!$A$2:$A$301,0))</f>
        <v>51</v>
      </c>
    </row>
    <row r="288" customFormat="false" ht="15" hidden="false" customHeight="false" outlineLevel="0" collapsed="false">
      <c r="A288" s="26" t="s">
        <v>295</v>
      </c>
      <c r="B288" s="26" t="s">
        <v>39</v>
      </c>
      <c r="C288" s="26" t="s">
        <v>60</v>
      </c>
      <c r="D288" s="26" t="str">
        <f aca="false">INDEX(Data_Posts!$N$2:$N$301,MATCH(A288,Data_Posts!$A$2:$A$301,0))</f>
        <v>StyleRevolution</v>
      </c>
      <c r="E288" s="28" t="n">
        <f aca="false">INDEX(Data_Posts!$P$2:$P$301,MATCH(A288,Data_Posts!$A$2:$A$301,0))</f>
        <v>0.0995781348173414</v>
      </c>
      <c r="F288" s="26" t="n">
        <f aca="false">INDEX(Data_Posts!$K$2:$K$301,MATCH(A288,Data_Posts!$A$2:$A$301,0))</f>
        <v>51</v>
      </c>
    </row>
    <row r="289" customFormat="false" ht="15" hidden="false" customHeight="false" outlineLevel="0" collapsed="false">
      <c r="A289" s="26" t="s">
        <v>296</v>
      </c>
      <c r="B289" s="26" t="s">
        <v>37</v>
      </c>
      <c r="C289" s="26" t="s">
        <v>60</v>
      </c>
      <c r="D289" s="26" t="str">
        <f aca="false">INDEX(Data_Posts!$N$2:$N$301,MATCH(A289,Data_Posts!$A$2:$A$301,0))</f>
        <v>FashionUpgrade</v>
      </c>
      <c r="E289" s="28" t="n">
        <f aca="false">INDEX(Data_Posts!$P$2:$P$301,MATCH(A289,Data_Posts!$A$2:$A$301,0))</f>
        <v>0.144132653061225</v>
      </c>
      <c r="F289" s="26" t="n">
        <f aca="false">INDEX(Data_Posts!$K$2:$K$301,MATCH(A289,Data_Posts!$A$2:$A$301,0))</f>
        <v>272</v>
      </c>
    </row>
    <row r="290" customFormat="false" ht="15" hidden="false" customHeight="false" outlineLevel="0" collapsed="false">
      <c r="A290" s="26" t="s">
        <v>297</v>
      </c>
      <c r="B290" s="26" t="s">
        <v>38</v>
      </c>
      <c r="C290" s="26" t="s">
        <v>60</v>
      </c>
      <c r="D290" s="26" t="str">
        <f aca="false">INDEX(Data_Posts!$N$2:$N$301,MATCH(A290,Data_Posts!$A$2:$A$301,0))</f>
        <v>FashionUpgrade</v>
      </c>
      <c r="E290" s="28" t="n">
        <f aca="false">INDEX(Data_Posts!$P$2:$P$301,MATCH(A290,Data_Posts!$A$2:$A$301,0))</f>
        <v>0.0992552116471425</v>
      </c>
      <c r="F290" s="26" t="n">
        <f aca="false">INDEX(Data_Posts!$K$2:$K$301,MATCH(A290,Data_Posts!$A$2:$A$301,0))</f>
        <v>223</v>
      </c>
    </row>
    <row r="291" customFormat="false" ht="15" hidden="false" customHeight="false" outlineLevel="0" collapsed="false">
      <c r="A291" s="26" t="s">
        <v>297</v>
      </c>
      <c r="B291" s="26" t="s">
        <v>38</v>
      </c>
      <c r="C291" s="26" t="s">
        <v>63</v>
      </c>
      <c r="D291" s="26" t="str">
        <f aca="false">INDEX(Data_Posts!$N$2:$N$301,MATCH(A291,Data_Posts!$A$2:$A$301,0))</f>
        <v>FashionUpgrade</v>
      </c>
      <c r="E291" s="28" t="n">
        <f aca="false">INDEX(Data_Posts!$P$2:$P$301,MATCH(A291,Data_Posts!$A$2:$A$301,0))</f>
        <v>0.0992552116471425</v>
      </c>
      <c r="F291" s="26" t="n">
        <f aca="false">INDEX(Data_Posts!$K$2:$K$301,MATCH(A291,Data_Posts!$A$2:$A$301,0))</f>
        <v>223</v>
      </c>
    </row>
    <row r="292" customFormat="false" ht="15" hidden="false" customHeight="false" outlineLevel="0" collapsed="false">
      <c r="A292" s="26" t="s">
        <v>298</v>
      </c>
      <c r="B292" s="26" t="s">
        <v>39</v>
      </c>
      <c r="C292" s="26" t="s">
        <v>60</v>
      </c>
      <c r="D292" s="26" t="str">
        <f aca="false">INDEX(Data_Posts!$N$2:$N$301,MATCH(A292,Data_Posts!$A$2:$A$301,0))</f>
        <v>EndOfSeasonSale</v>
      </c>
      <c r="E292" s="28" t="n">
        <f aca="false">INDEX(Data_Posts!$P$2:$P$301,MATCH(A292,Data_Posts!$A$2:$A$301,0))</f>
        <v>0.0842036124794746</v>
      </c>
      <c r="F292" s="26" t="n">
        <f aca="false">INDEX(Data_Posts!$K$2:$K$301,MATCH(A292,Data_Posts!$A$2:$A$301,0))</f>
        <v>195</v>
      </c>
    </row>
    <row r="293" customFormat="false" ht="15" hidden="false" customHeight="false" outlineLevel="0" collapsed="false">
      <c r="A293" s="26" t="s">
        <v>298</v>
      </c>
      <c r="B293" s="26" t="s">
        <v>39</v>
      </c>
      <c r="C293" s="26" t="s">
        <v>64</v>
      </c>
      <c r="D293" s="26" t="str">
        <f aca="false">INDEX(Data_Posts!$N$2:$N$301,MATCH(A293,Data_Posts!$A$2:$A$301,0))</f>
        <v>EndOfSeasonSale</v>
      </c>
      <c r="E293" s="28" t="n">
        <f aca="false">INDEX(Data_Posts!$P$2:$P$301,MATCH(A293,Data_Posts!$A$2:$A$301,0))</f>
        <v>0.0842036124794746</v>
      </c>
      <c r="F293" s="26" t="n">
        <f aca="false">INDEX(Data_Posts!$K$2:$K$301,MATCH(A293,Data_Posts!$A$2:$A$301,0))</f>
        <v>195</v>
      </c>
    </row>
    <row r="294" customFormat="false" ht="15" hidden="false" customHeight="false" outlineLevel="0" collapsed="false">
      <c r="A294" s="26" t="s">
        <v>299</v>
      </c>
      <c r="B294" s="26" t="s">
        <v>37</v>
      </c>
      <c r="C294" s="26" t="s">
        <v>61</v>
      </c>
      <c r="D294" s="26" t="str">
        <f aca="false">INDEX(Data_Posts!$N$2:$N$301,MATCH(A294,Data_Posts!$A$2:$A$301,0))</f>
        <v>MyntraFestiveEdit</v>
      </c>
      <c r="E294" s="28" t="n">
        <f aca="false">INDEX(Data_Posts!$P$2:$P$301,MATCH(A294,Data_Posts!$A$2:$A$301,0))</f>
        <v>0.136677327049318</v>
      </c>
      <c r="F294" s="26" t="n">
        <f aca="false">INDEX(Data_Posts!$K$2:$K$301,MATCH(A294,Data_Posts!$A$2:$A$301,0))</f>
        <v>282</v>
      </c>
    </row>
    <row r="295" customFormat="false" ht="15" hidden="false" customHeight="false" outlineLevel="0" collapsed="false">
      <c r="A295" s="26" t="s">
        <v>299</v>
      </c>
      <c r="B295" s="26" t="s">
        <v>37</v>
      </c>
      <c r="C295" s="26" t="s">
        <v>63</v>
      </c>
      <c r="D295" s="26" t="str">
        <f aca="false">INDEX(Data_Posts!$N$2:$N$301,MATCH(A295,Data_Posts!$A$2:$A$301,0))</f>
        <v>MyntraFestiveEdit</v>
      </c>
      <c r="E295" s="28" t="n">
        <f aca="false">INDEX(Data_Posts!$P$2:$P$301,MATCH(A295,Data_Posts!$A$2:$A$301,0))</f>
        <v>0.136677327049318</v>
      </c>
      <c r="F295" s="26" t="n">
        <f aca="false">INDEX(Data_Posts!$K$2:$K$301,MATCH(A295,Data_Posts!$A$2:$A$301,0))</f>
        <v>282</v>
      </c>
    </row>
    <row r="296" customFormat="false" ht="15" hidden="false" customHeight="false" outlineLevel="0" collapsed="false">
      <c r="A296" s="26" t="s">
        <v>300</v>
      </c>
      <c r="B296" s="26" t="s">
        <v>37</v>
      </c>
      <c r="C296" s="26" t="s">
        <v>63</v>
      </c>
      <c r="D296" s="26" t="str">
        <f aca="false">INDEX(Data_Posts!$N$2:$N$301,MATCH(A296,Data_Posts!$A$2:$A$301,0))</f>
        <v>MyntraFestiveEdit</v>
      </c>
      <c r="E296" s="28" t="n">
        <f aca="false">INDEX(Data_Posts!$P$2:$P$301,MATCH(A296,Data_Posts!$A$2:$A$301,0))</f>
        <v>0.125758411472697</v>
      </c>
      <c r="F296" s="26" t="n">
        <f aca="false">INDEX(Data_Posts!$K$2:$K$301,MATCH(A296,Data_Posts!$A$2:$A$301,0))</f>
        <v>85</v>
      </c>
    </row>
    <row r="297" customFormat="false" ht="15" hidden="false" customHeight="false" outlineLevel="0" collapsed="false">
      <c r="A297" s="26" t="s">
        <v>300</v>
      </c>
      <c r="B297" s="26" t="s">
        <v>37</v>
      </c>
      <c r="C297" s="26" t="s">
        <v>61</v>
      </c>
      <c r="D297" s="26" t="str">
        <f aca="false">INDEX(Data_Posts!$N$2:$N$301,MATCH(A297,Data_Posts!$A$2:$A$301,0))</f>
        <v>MyntraFestiveEdit</v>
      </c>
      <c r="E297" s="28" t="n">
        <f aca="false">INDEX(Data_Posts!$P$2:$P$301,MATCH(A297,Data_Posts!$A$2:$A$301,0))</f>
        <v>0.125758411472697</v>
      </c>
      <c r="F297" s="26" t="n">
        <f aca="false">INDEX(Data_Posts!$K$2:$K$301,MATCH(A297,Data_Posts!$A$2:$A$301,0))</f>
        <v>85</v>
      </c>
    </row>
    <row r="298" customFormat="false" ht="15" hidden="false" customHeight="false" outlineLevel="0" collapsed="false">
      <c r="A298" s="26" t="s">
        <v>301</v>
      </c>
      <c r="B298" s="26" t="s">
        <v>38</v>
      </c>
      <c r="C298" s="26" t="s">
        <v>60</v>
      </c>
      <c r="D298" s="26" t="str">
        <f aca="false">INDEX(Data_Posts!$N$2:$N$301,MATCH(A298,Data_Posts!$A$2:$A$301,0))</f>
        <v>EndOfSeasonSale</v>
      </c>
      <c r="E298" s="28" t="n">
        <f aca="false">INDEX(Data_Posts!$P$2:$P$301,MATCH(A298,Data_Posts!$A$2:$A$301,0))</f>
        <v>0.0648845206561643</v>
      </c>
      <c r="F298" s="26" t="n">
        <f aca="false">INDEX(Data_Posts!$K$2:$K$301,MATCH(A298,Data_Posts!$A$2:$A$301,0))</f>
        <v>19</v>
      </c>
    </row>
    <row r="299" customFormat="false" ht="15" hidden="false" customHeight="false" outlineLevel="0" collapsed="false">
      <c r="A299" s="26" t="s">
        <v>302</v>
      </c>
      <c r="B299" s="26" t="s">
        <v>38</v>
      </c>
      <c r="C299" s="26" t="s">
        <v>63</v>
      </c>
      <c r="D299" s="26" t="str">
        <f aca="false">INDEX(Data_Posts!$N$2:$N$301,MATCH(A299,Data_Posts!$A$2:$A$301,0))</f>
        <v>EndOfSeasonSale</v>
      </c>
      <c r="E299" s="28" t="n">
        <f aca="false">INDEX(Data_Posts!$P$2:$P$301,MATCH(A299,Data_Posts!$A$2:$A$301,0))</f>
        <v>0.198473282442748</v>
      </c>
      <c r="F299" s="26" t="n">
        <f aca="false">INDEX(Data_Posts!$K$2:$K$301,MATCH(A299,Data_Posts!$A$2:$A$301,0))</f>
        <v>158</v>
      </c>
    </row>
    <row r="300" customFormat="false" ht="15" hidden="false" customHeight="false" outlineLevel="0" collapsed="false">
      <c r="A300" s="26" t="s">
        <v>302</v>
      </c>
      <c r="B300" s="26" t="s">
        <v>38</v>
      </c>
      <c r="C300" s="26" t="s">
        <v>62</v>
      </c>
      <c r="D300" s="26" t="str">
        <f aca="false">INDEX(Data_Posts!$N$2:$N$301,MATCH(A300,Data_Posts!$A$2:$A$301,0))</f>
        <v>EndOfSeasonSale</v>
      </c>
      <c r="E300" s="28" t="n">
        <f aca="false">INDEX(Data_Posts!$P$2:$P$301,MATCH(A300,Data_Posts!$A$2:$A$301,0))</f>
        <v>0.198473282442748</v>
      </c>
      <c r="F300" s="26" t="n">
        <f aca="false">INDEX(Data_Posts!$K$2:$K$301,MATCH(A300,Data_Posts!$A$2:$A$301,0))</f>
        <v>158</v>
      </c>
    </row>
    <row r="301" customFormat="false" ht="15" hidden="false" customHeight="false" outlineLevel="0" collapsed="false">
      <c r="A301" s="26" t="s">
        <v>303</v>
      </c>
      <c r="B301" s="26" t="s">
        <v>39</v>
      </c>
      <c r="C301" s="26" t="s">
        <v>60</v>
      </c>
      <c r="D301" s="26" t="str">
        <f aca="false">INDEX(Data_Posts!$N$2:$N$301,MATCH(A301,Data_Posts!$A$2:$A$301,0))</f>
        <v>EndOfSeasonSale</v>
      </c>
      <c r="E301" s="28" t="n">
        <f aca="false">INDEX(Data_Posts!$P$2:$P$301,MATCH(A301,Data_Posts!$A$2:$A$301,0))</f>
        <v>0.0855206969196607</v>
      </c>
      <c r="F301" s="26" t="n">
        <f aca="false">INDEX(Data_Posts!$K$2:$K$301,MATCH(A301,Data_Posts!$A$2:$A$301,0))</f>
        <v>277</v>
      </c>
    </row>
    <row r="302" customFormat="false" ht="15" hidden="false" customHeight="false" outlineLevel="0" collapsed="false">
      <c r="A302" s="26" t="s">
        <v>304</v>
      </c>
      <c r="B302" s="26" t="s">
        <v>36</v>
      </c>
      <c r="C302" s="26" t="s">
        <v>63</v>
      </c>
      <c r="D302" s="26" t="str">
        <f aca="false">INDEX(Data_Posts!$N$2:$N$301,MATCH(A302,Data_Posts!$A$2:$A$301,0))</f>
        <v>FashionUpgrade</v>
      </c>
      <c r="E302" s="28" t="n">
        <f aca="false">INDEX(Data_Posts!$P$2:$P$301,MATCH(A302,Data_Posts!$A$2:$A$301,0))</f>
        <v>0.0624699187452224</v>
      </c>
      <c r="F302" s="26" t="n">
        <f aca="false">INDEX(Data_Posts!$K$2:$K$301,MATCH(A302,Data_Posts!$A$2:$A$301,0))</f>
        <v>233</v>
      </c>
    </row>
    <row r="303" customFormat="false" ht="15" hidden="false" customHeight="false" outlineLevel="0" collapsed="false">
      <c r="A303" s="26" t="s">
        <v>305</v>
      </c>
      <c r="B303" s="26" t="s">
        <v>38</v>
      </c>
      <c r="C303" s="26" t="s">
        <v>62</v>
      </c>
      <c r="D303" s="26" t="str">
        <f aca="false">INDEX(Data_Posts!$N$2:$N$301,MATCH(A303,Data_Posts!$A$2:$A$301,0))</f>
        <v>StyleRevolution</v>
      </c>
      <c r="E303" s="28" t="n">
        <f aca="false">INDEX(Data_Posts!$P$2:$P$301,MATCH(A303,Data_Posts!$A$2:$A$301,0))</f>
        <v>0.0906068162926018</v>
      </c>
      <c r="F303" s="26" t="n">
        <f aca="false">INDEX(Data_Posts!$K$2:$K$301,MATCH(A303,Data_Posts!$A$2:$A$301,0))</f>
        <v>49</v>
      </c>
    </row>
    <row r="304" customFormat="false" ht="15" hidden="false" customHeight="false" outlineLevel="0" collapsed="false">
      <c r="A304" s="26" t="s">
        <v>305</v>
      </c>
      <c r="B304" s="26" t="s">
        <v>38</v>
      </c>
      <c r="C304" s="26" t="s">
        <v>60</v>
      </c>
      <c r="D304" s="26" t="str">
        <f aca="false">INDEX(Data_Posts!$N$2:$N$301,MATCH(A304,Data_Posts!$A$2:$A$301,0))</f>
        <v>StyleRevolution</v>
      </c>
      <c r="E304" s="28" t="n">
        <f aca="false">INDEX(Data_Posts!$P$2:$P$301,MATCH(A304,Data_Posts!$A$2:$A$301,0))</f>
        <v>0.0906068162926018</v>
      </c>
      <c r="F304" s="26" t="n">
        <f aca="false">INDEX(Data_Posts!$K$2:$K$301,MATCH(A304,Data_Posts!$A$2:$A$301,0))</f>
        <v>49</v>
      </c>
    </row>
    <row r="305" customFormat="false" ht="15" hidden="false" customHeight="false" outlineLevel="0" collapsed="false">
      <c r="A305" s="26" t="s">
        <v>306</v>
      </c>
      <c r="B305" s="26" t="s">
        <v>36</v>
      </c>
      <c r="C305" s="26" t="s">
        <v>63</v>
      </c>
      <c r="D305" s="26" t="str">
        <f aca="false">INDEX(Data_Posts!$N$2:$N$301,MATCH(A305,Data_Posts!$A$2:$A$301,0))</f>
        <v>EndOfSeasonSale</v>
      </c>
      <c r="E305" s="28" t="n">
        <f aca="false">INDEX(Data_Posts!$P$2:$P$301,MATCH(A305,Data_Posts!$A$2:$A$301,0))</f>
        <v>0.0821084981293426</v>
      </c>
      <c r="F305" s="26" t="n">
        <f aca="false">INDEX(Data_Posts!$K$2:$K$301,MATCH(A305,Data_Posts!$A$2:$A$301,0))</f>
        <v>288</v>
      </c>
    </row>
    <row r="306" customFormat="false" ht="15" hidden="false" customHeight="false" outlineLevel="0" collapsed="false">
      <c r="A306" s="26" t="s">
        <v>307</v>
      </c>
      <c r="B306" s="26" t="s">
        <v>37</v>
      </c>
      <c r="C306" s="26" t="s">
        <v>63</v>
      </c>
      <c r="D306" s="26" t="str">
        <f aca="false">INDEX(Data_Posts!$N$2:$N$301,MATCH(A306,Data_Posts!$A$2:$A$301,0))</f>
        <v>StyleRevolution</v>
      </c>
      <c r="E306" s="28" t="n">
        <f aca="false">INDEX(Data_Posts!$P$2:$P$301,MATCH(A306,Data_Posts!$A$2:$A$301,0))</f>
        <v>0.057332570758994</v>
      </c>
      <c r="F306" s="26" t="n">
        <f aca="false">INDEX(Data_Posts!$K$2:$K$301,MATCH(A306,Data_Posts!$A$2:$A$301,0))</f>
        <v>286</v>
      </c>
    </row>
    <row r="307" customFormat="false" ht="15" hidden="false" customHeight="false" outlineLevel="0" collapsed="false">
      <c r="A307" s="26" t="s">
        <v>308</v>
      </c>
      <c r="B307" s="26" t="s">
        <v>37</v>
      </c>
      <c r="C307" s="26" t="s">
        <v>60</v>
      </c>
      <c r="D307" s="26" t="str">
        <f aca="false">INDEX(Data_Posts!$N$2:$N$301,MATCH(A307,Data_Posts!$A$2:$A$301,0))</f>
        <v>StyleRevolution</v>
      </c>
      <c r="E307" s="28" t="n">
        <f aca="false">INDEX(Data_Posts!$P$2:$P$301,MATCH(A307,Data_Posts!$A$2:$A$301,0))</f>
        <v>0.297135183527305</v>
      </c>
      <c r="F307" s="26" t="n">
        <f aca="false">INDEX(Data_Posts!$K$2:$K$301,MATCH(A307,Data_Posts!$A$2:$A$301,0))</f>
        <v>198</v>
      </c>
    </row>
    <row r="308" customFormat="false" ht="15" hidden="false" customHeight="false" outlineLevel="0" collapsed="false">
      <c r="A308" s="26" t="s">
        <v>308</v>
      </c>
      <c r="B308" s="26" t="s">
        <v>37</v>
      </c>
      <c r="C308" s="26" t="s">
        <v>64</v>
      </c>
      <c r="D308" s="26" t="str">
        <f aca="false">INDEX(Data_Posts!$N$2:$N$301,MATCH(A308,Data_Posts!$A$2:$A$301,0))</f>
        <v>StyleRevolution</v>
      </c>
      <c r="E308" s="28" t="n">
        <f aca="false">INDEX(Data_Posts!$P$2:$P$301,MATCH(A308,Data_Posts!$A$2:$A$301,0))</f>
        <v>0.297135183527305</v>
      </c>
      <c r="F308" s="26" t="n">
        <f aca="false">INDEX(Data_Posts!$K$2:$K$301,MATCH(A308,Data_Posts!$A$2:$A$301,0))</f>
        <v>198</v>
      </c>
    </row>
    <row r="309" customFormat="false" ht="15" hidden="false" customHeight="false" outlineLevel="0" collapsed="false">
      <c r="A309" s="26" t="s">
        <v>309</v>
      </c>
      <c r="B309" s="26" t="s">
        <v>38</v>
      </c>
      <c r="C309" s="26" t="s">
        <v>64</v>
      </c>
      <c r="D309" s="26" t="str">
        <f aca="false">INDEX(Data_Posts!$N$2:$N$301,MATCH(A309,Data_Posts!$A$2:$A$301,0))</f>
        <v>FashionUpgrade</v>
      </c>
      <c r="E309" s="28" t="n">
        <f aca="false">INDEX(Data_Posts!$P$2:$P$301,MATCH(A309,Data_Posts!$A$2:$A$301,0))</f>
        <v>0.104384816753927</v>
      </c>
      <c r="F309" s="26" t="n">
        <f aca="false">INDEX(Data_Posts!$K$2:$K$301,MATCH(A309,Data_Posts!$A$2:$A$301,0))</f>
        <v>171</v>
      </c>
    </row>
    <row r="310" customFormat="false" ht="15" hidden="false" customHeight="false" outlineLevel="0" collapsed="false">
      <c r="A310" s="26" t="s">
        <v>309</v>
      </c>
      <c r="B310" s="26" t="s">
        <v>38</v>
      </c>
      <c r="C310" s="26" t="s">
        <v>60</v>
      </c>
      <c r="D310" s="26" t="str">
        <f aca="false">INDEX(Data_Posts!$N$2:$N$301,MATCH(A310,Data_Posts!$A$2:$A$301,0))</f>
        <v>FashionUpgrade</v>
      </c>
      <c r="E310" s="28" t="n">
        <f aca="false">INDEX(Data_Posts!$P$2:$P$301,MATCH(A310,Data_Posts!$A$2:$A$301,0))</f>
        <v>0.104384816753927</v>
      </c>
      <c r="F310" s="26" t="n">
        <f aca="false">INDEX(Data_Posts!$K$2:$K$301,MATCH(A310,Data_Posts!$A$2:$A$301,0))</f>
        <v>171</v>
      </c>
    </row>
    <row r="311" customFormat="false" ht="15" hidden="false" customHeight="false" outlineLevel="0" collapsed="false">
      <c r="A311" s="26" t="s">
        <v>310</v>
      </c>
      <c r="B311" s="26" t="s">
        <v>38</v>
      </c>
      <c r="C311" s="26" t="s">
        <v>61</v>
      </c>
      <c r="D311" s="26" t="str">
        <f aca="false">INDEX(Data_Posts!$N$2:$N$301,MATCH(A311,Data_Posts!$A$2:$A$301,0))</f>
        <v>EndOfSeasonSale</v>
      </c>
      <c r="E311" s="28" t="n">
        <f aca="false">INDEX(Data_Posts!$P$2:$P$301,MATCH(A311,Data_Posts!$A$2:$A$301,0))</f>
        <v>0.107686857952533</v>
      </c>
      <c r="F311" s="26" t="n">
        <f aca="false">INDEX(Data_Posts!$K$2:$K$301,MATCH(A311,Data_Posts!$A$2:$A$301,0))</f>
        <v>87</v>
      </c>
    </row>
    <row r="312" customFormat="false" ht="15" hidden="false" customHeight="false" outlineLevel="0" collapsed="false">
      <c r="A312" s="26" t="s">
        <v>310</v>
      </c>
      <c r="B312" s="26" t="s">
        <v>38</v>
      </c>
      <c r="C312" s="26" t="s">
        <v>62</v>
      </c>
      <c r="D312" s="26" t="str">
        <f aca="false">INDEX(Data_Posts!$N$2:$N$301,MATCH(A312,Data_Posts!$A$2:$A$301,0))</f>
        <v>EndOfSeasonSale</v>
      </c>
      <c r="E312" s="28" t="n">
        <f aca="false">INDEX(Data_Posts!$P$2:$P$301,MATCH(A312,Data_Posts!$A$2:$A$301,0))</f>
        <v>0.107686857952533</v>
      </c>
      <c r="F312" s="26" t="n">
        <f aca="false">INDEX(Data_Posts!$K$2:$K$301,MATCH(A312,Data_Posts!$A$2:$A$301,0))</f>
        <v>87</v>
      </c>
    </row>
    <row r="313" customFormat="false" ht="15" hidden="false" customHeight="false" outlineLevel="0" collapsed="false">
      <c r="A313" s="26" t="s">
        <v>311</v>
      </c>
      <c r="B313" s="26" t="s">
        <v>38</v>
      </c>
      <c r="C313" s="26" t="s">
        <v>64</v>
      </c>
      <c r="D313" s="26" t="str">
        <f aca="false">INDEX(Data_Posts!$N$2:$N$301,MATCH(A313,Data_Posts!$A$2:$A$301,0))</f>
        <v>MyntraFestiveEdit</v>
      </c>
      <c r="E313" s="28" t="n">
        <f aca="false">INDEX(Data_Posts!$P$2:$P$301,MATCH(A313,Data_Posts!$A$2:$A$301,0))</f>
        <v>0.14316214319139</v>
      </c>
      <c r="F313" s="26" t="n">
        <f aca="false">INDEX(Data_Posts!$K$2:$K$301,MATCH(A313,Data_Posts!$A$2:$A$301,0))</f>
        <v>129</v>
      </c>
    </row>
    <row r="314" customFormat="false" ht="15" hidden="false" customHeight="false" outlineLevel="0" collapsed="false">
      <c r="A314" s="26" t="s">
        <v>311</v>
      </c>
      <c r="B314" s="26" t="s">
        <v>38</v>
      </c>
      <c r="C314" s="26" t="s">
        <v>60</v>
      </c>
      <c r="D314" s="26" t="str">
        <f aca="false">INDEX(Data_Posts!$N$2:$N$301,MATCH(A314,Data_Posts!$A$2:$A$301,0))</f>
        <v>MyntraFestiveEdit</v>
      </c>
      <c r="E314" s="28" t="n">
        <f aca="false">INDEX(Data_Posts!$P$2:$P$301,MATCH(A314,Data_Posts!$A$2:$A$301,0))</f>
        <v>0.14316214319139</v>
      </c>
      <c r="F314" s="26" t="n">
        <f aca="false">INDEX(Data_Posts!$K$2:$K$301,MATCH(A314,Data_Posts!$A$2:$A$301,0))</f>
        <v>129</v>
      </c>
    </row>
    <row r="315" customFormat="false" ht="15" hidden="false" customHeight="false" outlineLevel="0" collapsed="false">
      <c r="A315" s="26" t="s">
        <v>312</v>
      </c>
      <c r="B315" s="26" t="s">
        <v>39</v>
      </c>
      <c r="C315" s="26" t="s">
        <v>63</v>
      </c>
      <c r="D315" s="26" t="str">
        <f aca="false">INDEX(Data_Posts!$N$2:$N$301,MATCH(A315,Data_Posts!$A$2:$A$301,0))</f>
        <v>FashionUpgrade</v>
      </c>
      <c r="E315" s="28" t="n">
        <f aca="false">INDEX(Data_Posts!$P$2:$P$301,MATCH(A315,Data_Posts!$A$2:$A$301,0))</f>
        <v>0.0865378094269244</v>
      </c>
      <c r="F315" s="26" t="n">
        <f aca="false">INDEX(Data_Posts!$K$2:$K$301,MATCH(A315,Data_Posts!$A$2:$A$301,0))</f>
        <v>135</v>
      </c>
    </row>
    <row r="316" customFormat="false" ht="15" hidden="false" customHeight="false" outlineLevel="0" collapsed="false">
      <c r="A316" s="26" t="s">
        <v>312</v>
      </c>
      <c r="B316" s="26" t="s">
        <v>39</v>
      </c>
      <c r="C316" s="26" t="s">
        <v>60</v>
      </c>
      <c r="D316" s="26" t="str">
        <f aca="false">INDEX(Data_Posts!$N$2:$N$301,MATCH(A316,Data_Posts!$A$2:$A$301,0))</f>
        <v>FashionUpgrade</v>
      </c>
      <c r="E316" s="28" t="n">
        <f aca="false">INDEX(Data_Posts!$P$2:$P$301,MATCH(A316,Data_Posts!$A$2:$A$301,0))</f>
        <v>0.0865378094269244</v>
      </c>
      <c r="F316" s="26" t="n">
        <f aca="false">INDEX(Data_Posts!$K$2:$K$301,MATCH(A316,Data_Posts!$A$2:$A$301,0))</f>
        <v>135</v>
      </c>
    </row>
    <row r="317" customFormat="false" ht="15" hidden="false" customHeight="false" outlineLevel="0" collapsed="false">
      <c r="A317" s="26" t="s">
        <v>313</v>
      </c>
      <c r="B317" s="26" t="s">
        <v>38</v>
      </c>
      <c r="C317" s="26" t="s">
        <v>64</v>
      </c>
      <c r="D317" s="26" t="str">
        <f aca="false">INDEX(Data_Posts!$N$2:$N$301,MATCH(A317,Data_Posts!$A$2:$A$301,0))</f>
        <v>FashionUpgrade</v>
      </c>
      <c r="E317" s="28" t="n">
        <f aca="false">INDEX(Data_Posts!$P$2:$P$301,MATCH(A317,Data_Posts!$A$2:$A$301,0))</f>
        <v>0.082753164556962</v>
      </c>
      <c r="F317" s="26" t="n">
        <f aca="false">INDEX(Data_Posts!$K$2:$K$301,MATCH(A317,Data_Posts!$A$2:$A$301,0))</f>
        <v>49</v>
      </c>
    </row>
    <row r="318" customFormat="false" ht="15" hidden="false" customHeight="false" outlineLevel="0" collapsed="false">
      <c r="A318" s="26" t="s">
        <v>313</v>
      </c>
      <c r="B318" s="26" t="s">
        <v>38</v>
      </c>
      <c r="C318" s="26" t="s">
        <v>63</v>
      </c>
      <c r="D318" s="26" t="str">
        <f aca="false">INDEX(Data_Posts!$N$2:$N$301,MATCH(A318,Data_Posts!$A$2:$A$301,0))</f>
        <v>FashionUpgrade</v>
      </c>
      <c r="E318" s="28" t="n">
        <f aca="false">INDEX(Data_Posts!$P$2:$P$301,MATCH(A318,Data_Posts!$A$2:$A$301,0))</f>
        <v>0.082753164556962</v>
      </c>
      <c r="F318" s="26" t="n">
        <f aca="false">INDEX(Data_Posts!$K$2:$K$301,MATCH(A318,Data_Posts!$A$2:$A$301,0))</f>
        <v>49</v>
      </c>
    </row>
    <row r="319" customFormat="false" ht="15" hidden="false" customHeight="false" outlineLevel="0" collapsed="false">
      <c r="A319" s="26" t="s">
        <v>314</v>
      </c>
      <c r="B319" s="26" t="s">
        <v>39</v>
      </c>
      <c r="C319" s="26" t="s">
        <v>63</v>
      </c>
      <c r="D319" s="26" t="str">
        <f aca="false">INDEX(Data_Posts!$N$2:$N$301,MATCH(A319,Data_Posts!$A$2:$A$301,0))</f>
        <v>FashionUpgrade</v>
      </c>
      <c r="E319" s="28" t="n">
        <f aca="false">INDEX(Data_Posts!$P$2:$P$301,MATCH(A319,Data_Posts!$A$2:$A$301,0))</f>
        <v>0.485184076623765</v>
      </c>
      <c r="F319" s="26" t="n">
        <f aca="false">INDEX(Data_Posts!$K$2:$K$301,MATCH(A319,Data_Posts!$A$2:$A$301,0))</f>
        <v>287</v>
      </c>
    </row>
    <row r="320" customFormat="false" ht="15" hidden="false" customHeight="false" outlineLevel="0" collapsed="false">
      <c r="A320" s="26" t="s">
        <v>314</v>
      </c>
      <c r="B320" s="26" t="s">
        <v>39</v>
      </c>
      <c r="C320" s="26" t="s">
        <v>62</v>
      </c>
      <c r="D320" s="26" t="str">
        <f aca="false">INDEX(Data_Posts!$N$2:$N$301,MATCH(A320,Data_Posts!$A$2:$A$301,0))</f>
        <v>FashionUpgrade</v>
      </c>
      <c r="E320" s="28" t="n">
        <f aca="false">INDEX(Data_Posts!$P$2:$P$301,MATCH(A320,Data_Posts!$A$2:$A$301,0))</f>
        <v>0.485184076623765</v>
      </c>
      <c r="F320" s="26" t="n">
        <f aca="false">INDEX(Data_Posts!$K$2:$K$301,MATCH(A320,Data_Posts!$A$2:$A$301,0))</f>
        <v>287</v>
      </c>
    </row>
    <row r="321" customFormat="false" ht="15" hidden="false" customHeight="false" outlineLevel="0" collapsed="false">
      <c r="A321" s="26" t="s">
        <v>315</v>
      </c>
      <c r="B321" s="26" t="s">
        <v>38</v>
      </c>
      <c r="C321" s="26" t="s">
        <v>63</v>
      </c>
      <c r="D321" s="26" t="str">
        <f aca="false">INDEX(Data_Posts!$N$2:$N$301,MATCH(A321,Data_Posts!$A$2:$A$301,0))</f>
        <v>FashionUpgrade</v>
      </c>
      <c r="E321" s="28" t="n">
        <f aca="false">INDEX(Data_Posts!$P$2:$P$301,MATCH(A321,Data_Posts!$A$2:$A$301,0))</f>
        <v>0.186320754716981</v>
      </c>
      <c r="F321" s="26" t="n">
        <f aca="false">INDEX(Data_Posts!$K$2:$K$301,MATCH(A321,Data_Posts!$A$2:$A$301,0))</f>
        <v>21</v>
      </c>
    </row>
    <row r="322" customFormat="false" ht="15" hidden="false" customHeight="false" outlineLevel="0" collapsed="false">
      <c r="A322" s="26" t="s">
        <v>315</v>
      </c>
      <c r="B322" s="26" t="s">
        <v>38</v>
      </c>
      <c r="C322" s="26" t="s">
        <v>62</v>
      </c>
      <c r="D322" s="26" t="str">
        <f aca="false">INDEX(Data_Posts!$N$2:$N$301,MATCH(A322,Data_Posts!$A$2:$A$301,0))</f>
        <v>FashionUpgrade</v>
      </c>
      <c r="E322" s="28" t="n">
        <f aca="false">INDEX(Data_Posts!$P$2:$P$301,MATCH(A322,Data_Posts!$A$2:$A$301,0))</f>
        <v>0.186320754716981</v>
      </c>
      <c r="F322" s="26" t="n">
        <f aca="false">INDEX(Data_Posts!$K$2:$K$301,MATCH(A322,Data_Posts!$A$2:$A$301,0))</f>
        <v>21</v>
      </c>
    </row>
    <row r="323" customFormat="false" ht="15" hidden="false" customHeight="false" outlineLevel="0" collapsed="false">
      <c r="A323" s="26" t="s">
        <v>316</v>
      </c>
      <c r="B323" s="26" t="s">
        <v>39</v>
      </c>
      <c r="C323" s="26" t="s">
        <v>64</v>
      </c>
      <c r="D323" s="26" t="str">
        <f aca="false">INDEX(Data_Posts!$N$2:$N$301,MATCH(A323,Data_Posts!$A$2:$A$301,0))</f>
        <v>StyleRevolution</v>
      </c>
      <c r="E323" s="28" t="n">
        <f aca="false">INDEX(Data_Posts!$P$2:$P$301,MATCH(A323,Data_Posts!$A$2:$A$301,0))</f>
        <v>0.123309241094476</v>
      </c>
      <c r="F323" s="26" t="n">
        <f aca="false">INDEX(Data_Posts!$K$2:$K$301,MATCH(A323,Data_Posts!$A$2:$A$301,0))</f>
        <v>219</v>
      </c>
    </row>
    <row r="324" customFormat="false" ht="15" hidden="false" customHeight="false" outlineLevel="0" collapsed="false">
      <c r="A324" s="26" t="s">
        <v>317</v>
      </c>
      <c r="B324" s="26" t="s">
        <v>36</v>
      </c>
      <c r="C324" s="26" t="s">
        <v>62</v>
      </c>
      <c r="D324" s="26" t="str">
        <f aca="false">INDEX(Data_Posts!$N$2:$N$301,MATCH(A324,Data_Posts!$A$2:$A$301,0))</f>
        <v>MyntraFestiveEdit</v>
      </c>
      <c r="E324" s="28" t="n">
        <f aca="false">INDEX(Data_Posts!$P$2:$P$301,MATCH(A324,Data_Posts!$A$2:$A$301,0))</f>
        <v>0.0821914819340199</v>
      </c>
      <c r="F324" s="26" t="n">
        <f aca="false">INDEX(Data_Posts!$K$2:$K$301,MATCH(A324,Data_Posts!$A$2:$A$301,0))</f>
        <v>248</v>
      </c>
    </row>
    <row r="325" customFormat="false" ht="15" hidden="false" customHeight="false" outlineLevel="0" collapsed="false">
      <c r="A325" s="26" t="s">
        <v>318</v>
      </c>
      <c r="B325" s="26" t="s">
        <v>37</v>
      </c>
      <c r="C325" s="26" t="s">
        <v>62</v>
      </c>
      <c r="D325" s="26" t="str">
        <f aca="false">INDEX(Data_Posts!$N$2:$N$301,MATCH(A325,Data_Posts!$A$2:$A$301,0))</f>
        <v>FashionUpgrade</v>
      </c>
      <c r="E325" s="28" t="n">
        <f aca="false">INDEX(Data_Posts!$P$2:$P$301,MATCH(A325,Data_Posts!$A$2:$A$301,0))</f>
        <v>0.379558541266795</v>
      </c>
      <c r="F325" s="26" t="n">
        <f aca="false">INDEX(Data_Posts!$K$2:$K$301,MATCH(A325,Data_Posts!$A$2:$A$301,0))</f>
        <v>282</v>
      </c>
    </row>
    <row r="326" customFormat="false" ht="15" hidden="false" customHeight="false" outlineLevel="0" collapsed="false">
      <c r="A326" s="26" t="s">
        <v>319</v>
      </c>
      <c r="B326" s="26" t="s">
        <v>36</v>
      </c>
      <c r="C326" s="26" t="s">
        <v>62</v>
      </c>
      <c r="D326" s="26" t="str">
        <f aca="false">INDEX(Data_Posts!$N$2:$N$301,MATCH(A326,Data_Posts!$A$2:$A$301,0))</f>
        <v>FashionUpgrade</v>
      </c>
      <c r="E326" s="28" t="n">
        <f aca="false">INDEX(Data_Posts!$P$2:$P$301,MATCH(A326,Data_Posts!$A$2:$A$301,0))</f>
        <v>0.072116777745581</v>
      </c>
      <c r="F326" s="26" t="n">
        <f aca="false">INDEX(Data_Posts!$K$2:$K$301,MATCH(A326,Data_Posts!$A$2:$A$301,0))</f>
        <v>89</v>
      </c>
    </row>
    <row r="327" customFormat="false" ht="15" hidden="false" customHeight="false" outlineLevel="0" collapsed="false">
      <c r="A327" s="26" t="s">
        <v>319</v>
      </c>
      <c r="B327" s="26" t="s">
        <v>36</v>
      </c>
      <c r="C327" s="26" t="s">
        <v>63</v>
      </c>
      <c r="D327" s="26" t="str">
        <f aca="false">INDEX(Data_Posts!$N$2:$N$301,MATCH(A327,Data_Posts!$A$2:$A$301,0))</f>
        <v>FashionUpgrade</v>
      </c>
      <c r="E327" s="28" t="n">
        <f aca="false">INDEX(Data_Posts!$P$2:$P$301,MATCH(A327,Data_Posts!$A$2:$A$301,0))</f>
        <v>0.072116777745581</v>
      </c>
      <c r="F327" s="26" t="n">
        <f aca="false">INDEX(Data_Posts!$K$2:$K$301,MATCH(A327,Data_Posts!$A$2:$A$301,0))</f>
        <v>89</v>
      </c>
    </row>
    <row r="328" customFormat="false" ht="15" hidden="false" customHeight="false" outlineLevel="0" collapsed="false">
      <c r="A328" s="26" t="s">
        <v>320</v>
      </c>
      <c r="B328" s="26" t="s">
        <v>39</v>
      </c>
      <c r="C328" s="26" t="s">
        <v>63</v>
      </c>
      <c r="D328" s="26" t="str">
        <f aca="false">INDEX(Data_Posts!$N$2:$N$301,MATCH(A328,Data_Posts!$A$2:$A$301,0))</f>
        <v>FashionUpgrade</v>
      </c>
      <c r="E328" s="28" t="n">
        <f aca="false">INDEX(Data_Posts!$P$2:$P$301,MATCH(A328,Data_Posts!$A$2:$A$301,0))</f>
        <v>0.0583167660702452</v>
      </c>
      <c r="F328" s="26" t="n">
        <f aca="false">INDEX(Data_Posts!$K$2:$K$301,MATCH(A328,Data_Posts!$A$2:$A$301,0))</f>
        <v>119</v>
      </c>
    </row>
    <row r="329" customFormat="false" ht="15" hidden="false" customHeight="false" outlineLevel="0" collapsed="false">
      <c r="A329" s="26" t="s">
        <v>321</v>
      </c>
      <c r="B329" s="26" t="s">
        <v>36</v>
      </c>
      <c r="C329" s="26" t="s">
        <v>60</v>
      </c>
      <c r="D329" s="26" t="str">
        <f aca="false">INDEX(Data_Posts!$N$2:$N$301,MATCH(A329,Data_Posts!$A$2:$A$301,0))</f>
        <v>MyntraFestiveEdit</v>
      </c>
      <c r="E329" s="28" t="n">
        <f aca="false">INDEX(Data_Posts!$P$2:$P$301,MATCH(A329,Data_Posts!$A$2:$A$301,0))</f>
        <v>0.0626031263569258</v>
      </c>
      <c r="F329" s="26" t="n">
        <f aca="false">INDEX(Data_Posts!$K$2:$K$301,MATCH(A329,Data_Posts!$A$2:$A$301,0))</f>
        <v>56</v>
      </c>
    </row>
    <row r="330" customFormat="false" ht="15" hidden="false" customHeight="false" outlineLevel="0" collapsed="false">
      <c r="A330" s="26" t="s">
        <v>321</v>
      </c>
      <c r="B330" s="26" t="s">
        <v>36</v>
      </c>
      <c r="C330" s="26" t="s">
        <v>61</v>
      </c>
      <c r="D330" s="26" t="str">
        <f aca="false">INDEX(Data_Posts!$N$2:$N$301,MATCH(A330,Data_Posts!$A$2:$A$301,0))</f>
        <v>MyntraFestiveEdit</v>
      </c>
      <c r="E330" s="28" t="n">
        <f aca="false">INDEX(Data_Posts!$P$2:$P$301,MATCH(A330,Data_Posts!$A$2:$A$301,0))</f>
        <v>0.0626031263569258</v>
      </c>
      <c r="F330" s="26" t="n">
        <f aca="false">INDEX(Data_Posts!$K$2:$K$301,MATCH(A330,Data_Posts!$A$2:$A$301,0))</f>
        <v>56</v>
      </c>
    </row>
    <row r="331" customFormat="false" ht="15" hidden="false" customHeight="false" outlineLevel="0" collapsed="false">
      <c r="A331" s="26" t="s">
        <v>322</v>
      </c>
      <c r="B331" s="26" t="s">
        <v>36</v>
      </c>
      <c r="C331" s="26" t="s">
        <v>60</v>
      </c>
      <c r="D331" s="26" t="str">
        <f aca="false">INDEX(Data_Posts!$N$2:$N$301,MATCH(A331,Data_Posts!$A$2:$A$301,0))</f>
        <v>FashionUpgrade</v>
      </c>
      <c r="E331" s="28" t="n">
        <f aca="false">INDEX(Data_Posts!$P$2:$P$301,MATCH(A331,Data_Posts!$A$2:$A$301,0))</f>
        <v>0.188068485821295</v>
      </c>
      <c r="F331" s="26" t="n">
        <f aca="false">INDEX(Data_Posts!$K$2:$K$301,MATCH(A331,Data_Posts!$A$2:$A$301,0))</f>
        <v>275</v>
      </c>
    </row>
    <row r="332" customFormat="false" ht="15" hidden="false" customHeight="false" outlineLevel="0" collapsed="false">
      <c r="A332" s="26" t="s">
        <v>322</v>
      </c>
      <c r="B332" s="26" t="s">
        <v>36</v>
      </c>
      <c r="C332" s="26" t="s">
        <v>64</v>
      </c>
      <c r="D332" s="26" t="str">
        <f aca="false">INDEX(Data_Posts!$N$2:$N$301,MATCH(A332,Data_Posts!$A$2:$A$301,0))</f>
        <v>FashionUpgrade</v>
      </c>
      <c r="E332" s="28" t="n">
        <f aca="false">INDEX(Data_Posts!$P$2:$P$301,MATCH(A332,Data_Posts!$A$2:$A$301,0))</f>
        <v>0.188068485821295</v>
      </c>
      <c r="F332" s="26" t="n">
        <f aca="false">INDEX(Data_Posts!$K$2:$K$301,MATCH(A332,Data_Posts!$A$2:$A$301,0))</f>
        <v>275</v>
      </c>
    </row>
    <row r="333" customFormat="false" ht="15" hidden="false" customHeight="false" outlineLevel="0" collapsed="false">
      <c r="A333" s="26" t="s">
        <v>323</v>
      </c>
      <c r="B333" s="26" t="s">
        <v>38</v>
      </c>
      <c r="C333" s="26" t="s">
        <v>64</v>
      </c>
      <c r="D333" s="26" t="str">
        <f aca="false">INDEX(Data_Posts!$N$2:$N$301,MATCH(A333,Data_Posts!$A$2:$A$301,0))</f>
        <v>EndOfSeasonSale</v>
      </c>
      <c r="E333" s="28" t="n">
        <f aca="false">INDEX(Data_Posts!$P$2:$P$301,MATCH(A333,Data_Posts!$A$2:$A$301,0))</f>
        <v>0.257014590347924</v>
      </c>
      <c r="F333" s="26" t="n">
        <f aca="false">INDEX(Data_Posts!$K$2:$K$301,MATCH(A333,Data_Posts!$A$2:$A$301,0))</f>
        <v>270</v>
      </c>
    </row>
    <row r="334" customFormat="false" ht="15" hidden="false" customHeight="false" outlineLevel="0" collapsed="false">
      <c r="A334" s="26" t="s">
        <v>323</v>
      </c>
      <c r="B334" s="26" t="s">
        <v>38</v>
      </c>
      <c r="C334" s="26" t="s">
        <v>61</v>
      </c>
      <c r="D334" s="26" t="str">
        <f aca="false">INDEX(Data_Posts!$N$2:$N$301,MATCH(A334,Data_Posts!$A$2:$A$301,0))</f>
        <v>EndOfSeasonSale</v>
      </c>
      <c r="E334" s="28" t="n">
        <f aca="false">INDEX(Data_Posts!$P$2:$P$301,MATCH(A334,Data_Posts!$A$2:$A$301,0))</f>
        <v>0.257014590347924</v>
      </c>
      <c r="F334" s="26" t="n">
        <f aca="false">INDEX(Data_Posts!$K$2:$K$301,MATCH(A334,Data_Posts!$A$2:$A$301,0))</f>
        <v>270</v>
      </c>
    </row>
    <row r="335" customFormat="false" ht="15" hidden="false" customHeight="false" outlineLevel="0" collapsed="false">
      <c r="A335" s="26" t="s">
        <v>324</v>
      </c>
      <c r="B335" s="26" t="s">
        <v>37</v>
      </c>
      <c r="C335" s="26" t="s">
        <v>64</v>
      </c>
      <c r="D335" s="26" t="str">
        <f aca="false">INDEX(Data_Posts!$N$2:$N$301,MATCH(A335,Data_Posts!$A$2:$A$301,0))</f>
        <v>EndOfSeasonSale</v>
      </c>
      <c r="E335" s="28" t="n">
        <f aca="false">INDEX(Data_Posts!$P$2:$P$301,MATCH(A335,Data_Posts!$A$2:$A$301,0))</f>
        <v>1.81292517006803</v>
      </c>
      <c r="F335" s="26" t="n">
        <f aca="false">INDEX(Data_Posts!$K$2:$K$301,MATCH(A335,Data_Posts!$A$2:$A$301,0))</f>
        <v>12</v>
      </c>
    </row>
    <row r="336" customFormat="false" ht="15" hidden="false" customHeight="false" outlineLevel="0" collapsed="false">
      <c r="A336" s="26" t="s">
        <v>325</v>
      </c>
      <c r="B336" s="26" t="s">
        <v>36</v>
      </c>
      <c r="C336" s="26" t="s">
        <v>63</v>
      </c>
      <c r="D336" s="26" t="str">
        <f aca="false">INDEX(Data_Posts!$N$2:$N$301,MATCH(A336,Data_Posts!$A$2:$A$301,0))</f>
        <v>StyleRevolution</v>
      </c>
      <c r="E336" s="28" t="n">
        <f aca="false">INDEX(Data_Posts!$P$2:$P$301,MATCH(A336,Data_Posts!$A$2:$A$301,0))</f>
        <v>0.159892207500561</v>
      </c>
      <c r="F336" s="26" t="n">
        <f aca="false">INDEX(Data_Posts!$K$2:$K$301,MATCH(A336,Data_Posts!$A$2:$A$301,0))</f>
        <v>23</v>
      </c>
    </row>
    <row r="337" customFormat="false" ht="15" hidden="false" customHeight="false" outlineLevel="0" collapsed="false">
      <c r="A337" s="26" t="s">
        <v>325</v>
      </c>
      <c r="B337" s="26" t="s">
        <v>36</v>
      </c>
      <c r="C337" s="26" t="s">
        <v>61</v>
      </c>
      <c r="D337" s="26" t="str">
        <f aca="false">INDEX(Data_Posts!$N$2:$N$301,MATCH(A337,Data_Posts!$A$2:$A$301,0))</f>
        <v>StyleRevolution</v>
      </c>
      <c r="E337" s="28" t="n">
        <f aca="false">INDEX(Data_Posts!$P$2:$P$301,MATCH(A337,Data_Posts!$A$2:$A$301,0))</f>
        <v>0.159892207500561</v>
      </c>
      <c r="F337" s="26" t="n">
        <f aca="false">INDEX(Data_Posts!$K$2:$K$301,MATCH(A337,Data_Posts!$A$2:$A$301,0))</f>
        <v>23</v>
      </c>
    </row>
    <row r="338" customFormat="false" ht="15" hidden="false" customHeight="false" outlineLevel="0" collapsed="false">
      <c r="A338" s="26" t="s">
        <v>326</v>
      </c>
      <c r="B338" s="26" t="s">
        <v>36</v>
      </c>
      <c r="C338" s="26" t="s">
        <v>64</v>
      </c>
      <c r="D338" s="26" t="str">
        <f aca="false">INDEX(Data_Posts!$N$2:$N$301,MATCH(A338,Data_Posts!$A$2:$A$301,0))</f>
        <v>FashionUpgrade</v>
      </c>
      <c r="E338" s="28" t="n">
        <f aca="false">INDEX(Data_Posts!$P$2:$P$301,MATCH(A338,Data_Posts!$A$2:$A$301,0))</f>
        <v>0.111434871633328</v>
      </c>
      <c r="F338" s="26" t="n">
        <f aca="false">INDEX(Data_Posts!$K$2:$K$301,MATCH(A338,Data_Posts!$A$2:$A$301,0))</f>
        <v>39</v>
      </c>
    </row>
    <row r="339" customFormat="false" ht="15" hidden="false" customHeight="false" outlineLevel="0" collapsed="false">
      <c r="A339" s="26" t="s">
        <v>327</v>
      </c>
      <c r="B339" s="26" t="s">
        <v>38</v>
      </c>
      <c r="C339" s="26" t="s">
        <v>64</v>
      </c>
      <c r="D339" s="26" t="str">
        <f aca="false">INDEX(Data_Posts!$N$2:$N$301,MATCH(A339,Data_Posts!$A$2:$A$301,0))</f>
        <v>FashionUpgrade</v>
      </c>
      <c r="E339" s="28" t="n">
        <f aca="false">INDEX(Data_Posts!$P$2:$P$301,MATCH(A339,Data_Posts!$A$2:$A$301,0))</f>
        <v>0.0621296851075161</v>
      </c>
      <c r="F339" s="26" t="n">
        <f aca="false">INDEX(Data_Posts!$K$2:$K$301,MATCH(A339,Data_Posts!$A$2:$A$301,0))</f>
        <v>252</v>
      </c>
    </row>
    <row r="340" customFormat="false" ht="15" hidden="false" customHeight="false" outlineLevel="0" collapsed="false">
      <c r="A340" s="26" t="s">
        <v>328</v>
      </c>
      <c r="B340" s="26" t="s">
        <v>36</v>
      </c>
      <c r="C340" s="26" t="s">
        <v>62</v>
      </c>
      <c r="D340" s="26" t="str">
        <f aca="false">INDEX(Data_Posts!$N$2:$N$301,MATCH(A340,Data_Posts!$A$2:$A$301,0))</f>
        <v>MyntraFestiveEdit</v>
      </c>
      <c r="E340" s="28" t="n">
        <f aca="false">INDEX(Data_Posts!$P$2:$P$301,MATCH(A340,Data_Posts!$A$2:$A$301,0))</f>
        <v>0.320835310868533</v>
      </c>
      <c r="F340" s="26" t="n">
        <f aca="false">INDEX(Data_Posts!$K$2:$K$301,MATCH(A340,Data_Posts!$A$2:$A$301,0))</f>
        <v>164</v>
      </c>
    </row>
    <row r="341" customFormat="false" ht="15" hidden="false" customHeight="false" outlineLevel="0" collapsed="false">
      <c r="A341" s="26" t="s">
        <v>329</v>
      </c>
      <c r="B341" s="26" t="s">
        <v>38</v>
      </c>
      <c r="C341" s="26" t="s">
        <v>60</v>
      </c>
      <c r="D341" s="26" t="str">
        <f aca="false">INDEX(Data_Posts!$N$2:$N$301,MATCH(A341,Data_Posts!$A$2:$A$301,0))</f>
        <v>MyntraFestiveEdit</v>
      </c>
      <c r="E341" s="28" t="n">
        <f aca="false">INDEX(Data_Posts!$P$2:$P$301,MATCH(A341,Data_Posts!$A$2:$A$301,0))</f>
        <v>0.0566532984859409</v>
      </c>
      <c r="F341" s="26" t="n">
        <f aca="false">INDEX(Data_Posts!$K$2:$K$301,MATCH(A341,Data_Posts!$A$2:$A$301,0))</f>
        <v>118</v>
      </c>
    </row>
    <row r="342" customFormat="false" ht="15" hidden="false" customHeight="false" outlineLevel="0" collapsed="false">
      <c r="A342" s="26" t="s">
        <v>329</v>
      </c>
      <c r="B342" s="26" t="s">
        <v>38</v>
      </c>
      <c r="C342" s="26" t="s">
        <v>62</v>
      </c>
      <c r="D342" s="26" t="str">
        <f aca="false">INDEX(Data_Posts!$N$2:$N$301,MATCH(A342,Data_Posts!$A$2:$A$301,0))</f>
        <v>MyntraFestiveEdit</v>
      </c>
      <c r="E342" s="28" t="n">
        <f aca="false">INDEX(Data_Posts!$P$2:$P$301,MATCH(A342,Data_Posts!$A$2:$A$301,0))</f>
        <v>0.0566532984859409</v>
      </c>
      <c r="F342" s="26" t="n">
        <f aca="false">INDEX(Data_Posts!$K$2:$K$301,MATCH(A342,Data_Posts!$A$2:$A$301,0))</f>
        <v>118</v>
      </c>
    </row>
    <row r="343" customFormat="false" ht="15" hidden="false" customHeight="false" outlineLevel="0" collapsed="false">
      <c r="A343" s="26" t="s">
        <v>330</v>
      </c>
      <c r="B343" s="26" t="s">
        <v>37</v>
      </c>
      <c r="C343" s="26" t="s">
        <v>62</v>
      </c>
      <c r="D343" s="26" t="str">
        <f aca="false">INDEX(Data_Posts!$N$2:$N$301,MATCH(A343,Data_Posts!$A$2:$A$301,0))</f>
        <v>EndOfSeasonSale</v>
      </c>
      <c r="E343" s="28" t="n">
        <f aca="false">INDEX(Data_Posts!$P$2:$P$301,MATCH(A343,Data_Posts!$A$2:$A$301,0))</f>
        <v>0.255370476737507</v>
      </c>
      <c r="F343" s="26" t="n">
        <f aca="false">INDEX(Data_Posts!$K$2:$K$301,MATCH(A343,Data_Posts!$A$2:$A$301,0))</f>
        <v>121</v>
      </c>
    </row>
    <row r="344" customFormat="false" ht="15" hidden="false" customHeight="false" outlineLevel="0" collapsed="false">
      <c r="A344" s="26" t="s">
        <v>331</v>
      </c>
      <c r="B344" s="26" t="s">
        <v>37</v>
      </c>
      <c r="C344" s="26" t="s">
        <v>63</v>
      </c>
      <c r="D344" s="26" t="str">
        <f aca="false">INDEX(Data_Posts!$N$2:$N$301,MATCH(A344,Data_Posts!$A$2:$A$301,0))</f>
        <v>EndOfSeasonSale</v>
      </c>
      <c r="E344" s="28" t="n">
        <f aca="false">INDEX(Data_Posts!$P$2:$P$301,MATCH(A344,Data_Posts!$A$2:$A$301,0))</f>
        <v>0.112323491655969</v>
      </c>
      <c r="F344" s="26" t="n">
        <f aca="false">INDEX(Data_Posts!$K$2:$K$301,MATCH(A344,Data_Posts!$A$2:$A$301,0))</f>
        <v>217</v>
      </c>
    </row>
    <row r="345" customFormat="false" ht="15" hidden="false" customHeight="false" outlineLevel="0" collapsed="false">
      <c r="A345" s="26" t="s">
        <v>331</v>
      </c>
      <c r="B345" s="26" t="s">
        <v>37</v>
      </c>
      <c r="C345" s="26" t="s">
        <v>60</v>
      </c>
      <c r="D345" s="26" t="str">
        <f aca="false">INDEX(Data_Posts!$N$2:$N$301,MATCH(A345,Data_Posts!$A$2:$A$301,0))</f>
        <v>EndOfSeasonSale</v>
      </c>
      <c r="E345" s="28" t="n">
        <f aca="false">INDEX(Data_Posts!$P$2:$P$301,MATCH(A345,Data_Posts!$A$2:$A$301,0))</f>
        <v>0.112323491655969</v>
      </c>
      <c r="F345" s="26" t="n">
        <f aca="false">INDEX(Data_Posts!$K$2:$K$301,MATCH(A345,Data_Posts!$A$2:$A$301,0))</f>
        <v>217</v>
      </c>
    </row>
    <row r="346" customFormat="false" ht="15" hidden="false" customHeight="false" outlineLevel="0" collapsed="false">
      <c r="A346" s="26" t="s">
        <v>332</v>
      </c>
      <c r="B346" s="26" t="s">
        <v>37</v>
      </c>
      <c r="C346" s="26" t="s">
        <v>63</v>
      </c>
      <c r="D346" s="26" t="str">
        <f aca="false">INDEX(Data_Posts!$N$2:$N$301,MATCH(A346,Data_Posts!$A$2:$A$301,0))</f>
        <v>StyleRevolution</v>
      </c>
      <c r="E346" s="28" t="n">
        <f aca="false">INDEX(Data_Posts!$P$2:$P$301,MATCH(A346,Data_Posts!$A$2:$A$301,0))</f>
        <v>0.081808097615086</v>
      </c>
      <c r="F346" s="26" t="n">
        <f aca="false">INDEX(Data_Posts!$K$2:$K$301,MATCH(A346,Data_Posts!$A$2:$A$301,0))</f>
        <v>195</v>
      </c>
    </row>
    <row r="347" customFormat="false" ht="15" hidden="false" customHeight="false" outlineLevel="0" collapsed="false">
      <c r="A347" s="26" t="s">
        <v>332</v>
      </c>
      <c r="B347" s="26" t="s">
        <v>37</v>
      </c>
      <c r="C347" s="26" t="s">
        <v>62</v>
      </c>
      <c r="D347" s="26" t="str">
        <f aca="false">INDEX(Data_Posts!$N$2:$N$301,MATCH(A347,Data_Posts!$A$2:$A$301,0))</f>
        <v>StyleRevolution</v>
      </c>
      <c r="E347" s="28" t="n">
        <f aca="false">INDEX(Data_Posts!$P$2:$P$301,MATCH(A347,Data_Posts!$A$2:$A$301,0))</f>
        <v>0.081808097615086</v>
      </c>
      <c r="F347" s="26" t="n">
        <f aca="false">INDEX(Data_Posts!$K$2:$K$301,MATCH(A347,Data_Posts!$A$2:$A$301,0))</f>
        <v>195</v>
      </c>
    </row>
    <row r="348" customFormat="false" ht="15" hidden="false" customHeight="false" outlineLevel="0" collapsed="false">
      <c r="A348" s="26" t="s">
        <v>333</v>
      </c>
      <c r="B348" s="26" t="s">
        <v>37</v>
      </c>
      <c r="C348" s="26" t="s">
        <v>63</v>
      </c>
      <c r="D348" s="26" t="str">
        <f aca="false">INDEX(Data_Posts!$N$2:$N$301,MATCH(A348,Data_Posts!$A$2:$A$301,0))</f>
        <v>EndOfSeasonSale</v>
      </c>
      <c r="E348" s="28" t="n">
        <f aca="false">INDEX(Data_Posts!$P$2:$P$301,MATCH(A348,Data_Posts!$A$2:$A$301,0))</f>
        <v>0.1338704822764</v>
      </c>
      <c r="F348" s="26" t="n">
        <f aca="false">INDEX(Data_Posts!$K$2:$K$301,MATCH(A348,Data_Posts!$A$2:$A$301,0))</f>
        <v>118</v>
      </c>
    </row>
    <row r="349" customFormat="false" ht="15" hidden="false" customHeight="false" outlineLevel="0" collapsed="false">
      <c r="A349" s="26" t="s">
        <v>334</v>
      </c>
      <c r="B349" s="26" t="s">
        <v>36</v>
      </c>
      <c r="C349" s="26" t="s">
        <v>62</v>
      </c>
      <c r="D349" s="26" t="str">
        <f aca="false">INDEX(Data_Posts!$N$2:$N$301,MATCH(A349,Data_Posts!$A$2:$A$301,0))</f>
        <v>FashionUpgrade</v>
      </c>
      <c r="E349" s="28" t="n">
        <f aca="false">INDEX(Data_Posts!$P$2:$P$301,MATCH(A349,Data_Posts!$A$2:$A$301,0))</f>
        <v>0.0775125775125775</v>
      </c>
      <c r="F349" s="26" t="n">
        <f aca="false">INDEX(Data_Posts!$K$2:$K$301,MATCH(A349,Data_Posts!$A$2:$A$301,0))</f>
        <v>84</v>
      </c>
    </row>
    <row r="350" customFormat="false" ht="15" hidden="false" customHeight="false" outlineLevel="0" collapsed="false">
      <c r="A350" s="26" t="s">
        <v>335</v>
      </c>
      <c r="B350" s="26" t="s">
        <v>37</v>
      </c>
      <c r="C350" s="26" t="s">
        <v>60</v>
      </c>
      <c r="D350" s="26" t="str">
        <f aca="false">INDEX(Data_Posts!$N$2:$N$301,MATCH(A350,Data_Posts!$A$2:$A$301,0))</f>
        <v>MyntraFestiveEdit</v>
      </c>
      <c r="E350" s="28" t="n">
        <f aca="false">INDEX(Data_Posts!$P$2:$P$301,MATCH(A350,Data_Posts!$A$2:$A$301,0))</f>
        <v>0.0857342657342657</v>
      </c>
      <c r="F350" s="26" t="n">
        <f aca="false">INDEX(Data_Posts!$K$2:$K$301,MATCH(A350,Data_Posts!$A$2:$A$301,0))</f>
        <v>251</v>
      </c>
    </row>
    <row r="351" customFormat="false" ht="15" hidden="false" customHeight="false" outlineLevel="0" collapsed="false">
      <c r="A351" s="26" t="s">
        <v>336</v>
      </c>
      <c r="B351" s="26" t="s">
        <v>38</v>
      </c>
      <c r="C351" s="26" t="s">
        <v>61</v>
      </c>
      <c r="D351" s="26" t="str">
        <f aca="false">INDEX(Data_Posts!$N$2:$N$301,MATCH(A351,Data_Posts!$A$2:$A$301,0))</f>
        <v>StyleRevolution</v>
      </c>
      <c r="E351" s="28" t="n">
        <f aca="false">INDEX(Data_Posts!$P$2:$P$301,MATCH(A351,Data_Posts!$A$2:$A$301,0))</f>
        <v>0.716867469879518</v>
      </c>
      <c r="F351" s="26" t="n">
        <f aca="false">INDEX(Data_Posts!$K$2:$K$301,MATCH(A351,Data_Posts!$A$2:$A$301,0))</f>
        <v>201</v>
      </c>
    </row>
    <row r="352" customFormat="false" ht="15" hidden="false" customHeight="false" outlineLevel="0" collapsed="false">
      <c r="A352" s="26" t="s">
        <v>336</v>
      </c>
      <c r="B352" s="26" t="s">
        <v>38</v>
      </c>
      <c r="C352" s="26" t="s">
        <v>63</v>
      </c>
      <c r="D352" s="26" t="str">
        <f aca="false">INDEX(Data_Posts!$N$2:$N$301,MATCH(A352,Data_Posts!$A$2:$A$301,0))</f>
        <v>StyleRevolution</v>
      </c>
      <c r="E352" s="28" t="n">
        <f aca="false">INDEX(Data_Posts!$P$2:$P$301,MATCH(A352,Data_Posts!$A$2:$A$301,0))</f>
        <v>0.716867469879518</v>
      </c>
      <c r="F352" s="26" t="n">
        <f aca="false">INDEX(Data_Posts!$K$2:$K$301,MATCH(A352,Data_Posts!$A$2:$A$301,0))</f>
        <v>201</v>
      </c>
    </row>
    <row r="353" customFormat="false" ht="15" hidden="false" customHeight="false" outlineLevel="0" collapsed="false">
      <c r="A353" s="26" t="s">
        <v>337</v>
      </c>
      <c r="B353" s="26" t="s">
        <v>36</v>
      </c>
      <c r="C353" s="26" t="s">
        <v>60</v>
      </c>
      <c r="D353" s="26" t="str">
        <f aca="false">INDEX(Data_Posts!$N$2:$N$301,MATCH(A353,Data_Posts!$A$2:$A$301,0))</f>
        <v>EndOfSeasonSale</v>
      </c>
      <c r="E353" s="28" t="n">
        <f aca="false">INDEX(Data_Posts!$P$2:$P$301,MATCH(A353,Data_Posts!$A$2:$A$301,0))</f>
        <v>0.0729691435768262</v>
      </c>
      <c r="F353" s="26" t="n">
        <f aca="false">INDEX(Data_Posts!$K$2:$K$301,MATCH(A353,Data_Posts!$A$2:$A$301,0))</f>
        <v>249</v>
      </c>
    </row>
    <row r="354" customFormat="false" ht="15" hidden="false" customHeight="false" outlineLevel="0" collapsed="false">
      <c r="A354" s="26" t="s">
        <v>337</v>
      </c>
      <c r="B354" s="26" t="s">
        <v>36</v>
      </c>
      <c r="C354" s="26" t="s">
        <v>63</v>
      </c>
      <c r="D354" s="26" t="str">
        <f aca="false">INDEX(Data_Posts!$N$2:$N$301,MATCH(A354,Data_Posts!$A$2:$A$301,0))</f>
        <v>EndOfSeasonSale</v>
      </c>
      <c r="E354" s="28" t="n">
        <f aca="false">INDEX(Data_Posts!$P$2:$P$301,MATCH(A354,Data_Posts!$A$2:$A$301,0))</f>
        <v>0.0729691435768262</v>
      </c>
      <c r="F354" s="26" t="n">
        <f aca="false">INDEX(Data_Posts!$K$2:$K$301,MATCH(A354,Data_Posts!$A$2:$A$301,0))</f>
        <v>249</v>
      </c>
    </row>
    <row r="355" customFormat="false" ht="15" hidden="false" customHeight="false" outlineLevel="0" collapsed="false">
      <c r="A355" s="26" t="s">
        <v>338</v>
      </c>
      <c r="B355" s="26" t="s">
        <v>36</v>
      </c>
      <c r="C355" s="26" t="s">
        <v>61</v>
      </c>
      <c r="D355" s="26" t="str">
        <f aca="false">INDEX(Data_Posts!$N$2:$N$301,MATCH(A355,Data_Posts!$A$2:$A$301,0))</f>
        <v>EndOfSeasonSale</v>
      </c>
      <c r="E355" s="28" t="n">
        <f aca="false">INDEX(Data_Posts!$P$2:$P$301,MATCH(A355,Data_Posts!$A$2:$A$301,0))</f>
        <v>0.0759682224428997</v>
      </c>
      <c r="F355" s="26" t="n">
        <f aca="false">INDEX(Data_Posts!$K$2:$K$301,MATCH(A355,Data_Posts!$A$2:$A$301,0))</f>
        <v>42</v>
      </c>
    </row>
    <row r="356" customFormat="false" ht="15" hidden="false" customHeight="false" outlineLevel="0" collapsed="false">
      <c r="A356" s="26" t="s">
        <v>338</v>
      </c>
      <c r="B356" s="26" t="s">
        <v>36</v>
      </c>
      <c r="C356" s="26" t="s">
        <v>60</v>
      </c>
      <c r="D356" s="26" t="str">
        <f aca="false">INDEX(Data_Posts!$N$2:$N$301,MATCH(A356,Data_Posts!$A$2:$A$301,0))</f>
        <v>EndOfSeasonSale</v>
      </c>
      <c r="E356" s="28" t="n">
        <f aca="false">INDEX(Data_Posts!$P$2:$P$301,MATCH(A356,Data_Posts!$A$2:$A$301,0))</f>
        <v>0.0759682224428997</v>
      </c>
      <c r="F356" s="26" t="n">
        <f aca="false">INDEX(Data_Posts!$K$2:$K$301,MATCH(A356,Data_Posts!$A$2:$A$301,0))</f>
        <v>42</v>
      </c>
    </row>
    <row r="357" customFormat="false" ht="15" hidden="false" customHeight="false" outlineLevel="0" collapsed="false">
      <c r="A357" s="26" t="s">
        <v>339</v>
      </c>
      <c r="B357" s="26" t="s">
        <v>36</v>
      </c>
      <c r="C357" s="26" t="s">
        <v>64</v>
      </c>
      <c r="D357" s="26" t="str">
        <f aca="false">INDEX(Data_Posts!$N$2:$N$301,MATCH(A357,Data_Posts!$A$2:$A$301,0))</f>
        <v>StyleRevolution</v>
      </c>
      <c r="E357" s="28" t="n">
        <f aca="false">INDEX(Data_Posts!$P$2:$P$301,MATCH(A357,Data_Posts!$A$2:$A$301,0))</f>
        <v>0.128370690636022</v>
      </c>
      <c r="F357" s="26" t="n">
        <f aca="false">INDEX(Data_Posts!$K$2:$K$301,MATCH(A357,Data_Posts!$A$2:$A$301,0))</f>
        <v>241</v>
      </c>
    </row>
    <row r="358" customFormat="false" ht="15" hidden="false" customHeight="false" outlineLevel="0" collapsed="false">
      <c r="A358" s="26" t="s">
        <v>339</v>
      </c>
      <c r="B358" s="26" t="s">
        <v>36</v>
      </c>
      <c r="C358" s="26" t="s">
        <v>63</v>
      </c>
      <c r="D358" s="26" t="str">
        <f aca="false">INDEX(Data_Posts!$N$2:$N$301,MATCH(A358,Data_Posts!$A$2:$A$301,0))</f>
        <v>StyleRevolution</v>
      </c>
      <c r="E358" s="28" t="n">
        <f aca="false">INDEX(Data_Posts!$P$2:$P$301,MATCH(A358,Data_Posts!$A$2:$A$301,0))</f>
        <v>0.128370690636022</v>
      </c>
      <c r="F358" s="26" t="n">
        <f aca="false">INDEX(Data_Posts!$K$2:$K$301,MATCH(A358,Data_Posts!$A$2:$A$301,0))</f>
        <v>241</v>
      </c>
    </row>
    <row r="359" customFormat="false" ht="15" hidden="false" customHeight="false" outlineLevel="0" collapsed="false">
      <c r="A359" s="26" t="s">
        <v>340</v>
      </c>
      <c r="B359" s="26" t="s">
        <v>36</v>
      </c>
      <c r="C359" s="26" t="s">
        <v>64</v>
      </c>
      <c r="D359" s="26" t="str">
        <f aca="false">INDEX(Data_Posts!$N$2:$N$301,MATCH(A359,Data_Posts!$A$2:$A$301,0))</f>
        <v>FashionUpgrade</v>
      </c>
      <c r="E359" s="28" t="n">
        <f aca="false">INDEX(Data_Posts!$P$2:$P$301,MATCH(A359,Data_Posts!$A$2:$A$301,0))</f>
        <v>0.129435163086714</v>
      </c>
      <c r="F359" s="26" t="n">
        <f aca="false">INDEX(Data_Posts!$K$2:$K$301,MATCH(A359,Data_Posts!$A$2:$A$301,0))</f>
        <v>194</v>
      </c>
    </row>
    <row r="360" customFormat="false" ht="15" hidden="false" customHeight="false" outlineLevel="0" collapsed="false">
      <c r="A360" s="26" t="s">
        <v>341</v>
      </c>
      <c r="B360" s="26" t="s">
        <v>37</v>
      </c>
      <c r="C360" s="26" t="s">
        <v>62</v>
      </c>
      <c r="D360" s="26" t="str">
        <f aca="false">INDEX(Data_Posts!$N$2:$N$301,MATCH(A360,Data_Posts!$A$2:$A$301,0))</f>
        <v>StyleRevolution</v>
      </c>
      <c r="E360" s="28" t="n">
        <f aca="false">INDEX(Data_Posts!$P$2:$P$301,MATCH(A360,Data_Posts!$A$2:$A$301,0))</f>
        <v>0.0672343989948346</v>
      </c>
      <c r="F360" s="26" t="n">
        <f aca="false">INDEX(Data_Posts!$K$2:$K$301,MATCH(A360,Data_Posts!$A$2:$A$301,0))</f>
        <v>76</v>
      </c>
    </row>
    <row r="361" customFormat="false" ht="15" hidden="false" customHeight="false" outlineLevel="0" collapsed="false">
      <c r="A361" s="26" t="s">
        <v>341</v>
      </c>
      <c r="B361" s="26" t="s">
        <v>37</v>
      </c>
      <c r="C361" s="26" t="s">
        <v>63</v>
      </c>
      <c r="D361" s="26" t="str">
        <f aca="false">INDEX(Data_Posts!$N$2:$N$301,MATCH(A361,Data_Posts!$A$2:$A$301,0))</f>
        <v>StyleRevolution</v>
      </c>
      <c r="E361" s="28" t="n">
        <f aca="false">INDEX(Data_Posts!$P$2:$P$301,MATCH(A361,Data_Posts!$A$2:$A$301,0))</f>
        <v>0.0672343989948346</v>
      </c>
      <c r="F361" s="26" t="n">
        <f aca="false">INDEX(Data_Posts!$K$2:$K$301,MATCH(A361,Data_Posts!$A$2:$A$301,0))</f>
        <v>76</v>
      </c>
    </row>
    <row r="362" customFormat="false" ht="15" hidden="false" customHeight="false" outlineLevel="0" collapsed="false">
      <c r="A362" s="26" t="s">
        <v>342</v>
      </c>
      <c r="B362" s="26" t="s">
        <v>38</v>
      </c>
      <c r="C362" s="26" t="s">
        <v>63</v>
      </c>
      <c r="D362" s="26" t="str">
        <f aca="false">INDEX(Data_Posts!$N$2:$N$301,MATCH(A362,Data_Posts!$A$2:$A$301,0))</f>
        <v>FashionUpgrade</v>
      </c>
      <c r="E362" s="28" t="n">
        <f aca="false">INDEX(Data_Posts!$P$2:$P$301,MATCH(A362,Data_Posts!$A$2:$A$301,0))</f>
        <v>0.0725793650793651</v>
      </c>
      <c r="F362" s="26" t="n">
        <f aca="false">INDEX(Data_Posts!$K$2:$K$301,MATCH(A362,Data_Posts!$A$2:$A$301,0))</f>
        <v>43</v>
      </c>
    </row>
    <row r="363" customFormat="false" ht="15" hidden="false" customHeight="false" outlineLevel="0" collapsed="false">
      <c r="A363" s="26" t="s">
        <v>342</v>
      </c>
      <c r="B363" s="26" t="s">
        <v>38</v>
      </c>
      <c r="C363" s="26" t="s">
        <v>61</v>
      </c>
      <c r="D363" s="26" t="str">
        <f aca="false">INDEX(Data_Posts!$N$2:$N$301,MATCH(A363,Data_Posts!$A$2:$A$301,0))</f>
        <v>FashionUpgrade</v>
      </c>
      <c r="E363" s="28" t="n">
        <f aca="false">INDEX(Data_Posts!$P$2:$P$301,MATCH(A363,Data_Posts!$A$2:$A$301,0))</f>
        <v>0.0725793650793651</v>
      </c>
      <c r="F363" s="26" t="n">
        <f aca="false">INDEX(Data_Posts!$K$2:$K$301,MATCH(A363,Data_Posts!$A$2:$A$301,0))</f>
        <v>43</v>
      </c>
    </row>
    <row r="364" customFormat="false" ht="15" hidden="false" customHeight="false" outlineLevel="0" collapsed="false">
      <c r="A364" s="26" t="s">
        <v>343</v>
      </c>
      <c r="B364" s="26" t="s">
        <v>39</v>
      </c>
      <c r="C364" s="26" t="s">
        <v>64</v>
      </c>
      <c r="D364" s="26" t="str">
        <f aca="false">INDEX(Data_Posts!$N$2:$N$301,MATCH(A364,Data_Posts!$A$2:$A$301,0))</f>
        <v>EndOfSeasonSale</v>
      </c>
      <c r="E364" s="28" t="n">
        <f aca="false">INDEX(Data_Posts!$P$2:$P$301,MATCH(A364,Data_Posts!$A$2:$A$301,0))</f>
        <v>0.25062082139446</v>
      </c>
      <c r="F364" s="26" t="n">
        <f aca="false">INDEX(Data_Posts!$K$2:$K$301,MATCH(A364,Data_Posts!$A$2:$A$301,0))</f>
        <v>102</v>
      </c>
    </row>
    <row r="365" customFormat="false" ht="15" hidden="false" customHeight="false" outlineLevel="0" collapsed="false">
      <c r="A365" s="26" t="s">
        <v>344</v>
      </c>
      <c r="B365" s="26" t="s">
        <v>38</v>
      </c>
      <c r="C365" s="26" t="s">
        <v>61</v>
      </c>
      <c r="D365" s="26" t="str">
        <f aca="false">INDEX(Data_Posts!$N$2:$N$301,MATCH(A365,Data_Posts!$A$2:$A$301,0))</f>
        <v>MyntraFestiveEdit</v>
      </c>
      <c r="E365" s="28" t="n">
        <f aca="false">INDEX(Data_Posts!$P$2:$P$301,MATCH(A365,Data_Posts!$A$2:$A$301,0))</f>
        <v>0.0862935055615357</v>
      </c>
      <c r="F365" s="26" t="n">
        <f aca="false">INDEX(Data_Posts!$K$2:$K$301,MATCH(A365,Data_Posts!$A$2:$A$301,0))</f>
        <v>145</v>
      </c>
    </row>
    <row r="366" customFormat="false" ht="15" hidden="false" customHeight="false" outlineLevel="0" collapsed="false">
      <c r="A366" s="26" t="s">
        <v>345</v>
      </c>
      <c r="B366" s="26" t="s">
        <v>36</v>
      </c>
      <c r="C366" s="26" t="s">
        <v>62</v>
      </c>
      <c r="D366" s="26" t="str">
        <f aca="false">INDEX(Data_Posts!$N$2:$N$301,MATCH(A366,Data_Posts!$A$2:$A$301,0))</f>
        <v>MyntraFestiveEdit</v>
      </c>
      <c r="E366" s="28" t="n">
        <f aca="false">INDEX(Data_Posts!$P$2:$P$301,MATCH(A366,Data_Posts!$A$2:$A$301,0))</f>
        <v>0.177439084867921</v>
      </c>
      <c r="F366" s="26" t="n">
        <f aca="false">INDEX(Data_Posts!$K$2:$K$301,MATCH(A366,Data_Posts!$A$2:$A$301,0))</f>
        <v>122</v>
      </c>
    </row>
    <row r="367" customFormat="false" ht="15" hidden="false" customHeight="false" outlineLevel="0" collapsed="false">
      <c r="A367" s="26" t="s">
        <v>345</v>
      </c>
      <c r="B367" s="26" t="s">
        <v>36</v>
      </c>
      <c r="C367" s="26" t="s">
        <v>61</v>
      </c>
      <c r="D367" s="26" t="str">
        <f aca="false">INDEX(Data_Posts!$N$2:$N$301,MATCH(A367,Data_Posts!$A$2:$A$301,0))</f>
        <v>MyntraFestiveEdit</v>
      </c>
      <c r="E367" s="28" t="n">
        <f aca="false">INDEX(Data_Posts!$P$2:$P$301,MATCH(A367,Data_Posts!$A$2:$A$301,0))</f>
        <v>0.177439084867921</v>
      </c>
      <c r="F367" s="26" t="n">
        <f aca="false">INDEX(Data_Posts!$K$2:$K$301,MATCH(A367,Data_Posts!$A$2:$A$301,0))</f>
        <v>122</v>
      </c>
    </row>
    <row r="368" customFormat="false" ht="15" hidden="false" customHeight="false" outlineLevel="0" collapsed="false">
      <c r="A368" s="26" t="s">
        <v>346</v>
      </c>
      <c r="B368" s="26" t="s">
        <v>36</v>
      </c>
      <c r="C368" s="26" t="s">
        <v>60</v>
      </c>
      <c r="D368" s="26" t="str">
        <f aca="false">INDEX(Data_Posts!$N$2:$N$301,MATCH(A368,Data_Posts!$A$2:$A$301,0))</f>
        <v>StyleRevolution</v>
      </c>
      <c r="E368" s="28" t="n">
        <f aca="false">INDEX(Data_Posts!$P$2:$P$301,MATCH(A368,Data_Posts!$A$2:$A$301,0))</f>
        <v>0.185196839381861</v>
      </c>
      <c r="F368" s="26" t="n">
        <f aca="false">INDEX(Data_Posts!$K$2:$K$301,MATCH(A368,Data_Posts!$A$2:$A$301,0))</f>
        <v>210</v>
      </c>
    </row>
    <row r="369" customFormat="false" ht="15" hidden="false" customHeight="false" outlineLevel="0" collapsed="false">
      <c r="A369" s="26" t="s">
        <v>347</v>
      </c>
      <c r="B369" s="26" t="s">
        <v>38</v>
      </c>
      <c r="C369" s="26" t="s">
        <v>64</v>
      </c>
      <c r="D369" s="26" t="str">
        <f aca="false">INDEX(Data_Posts!$N$2:$N$301,MATCH(A369,Data_Posts!$A$2:$A$301,0))</f>
        <v>EndOfSeasonSale</v>
      </c>
      <c r="E369" s="28" t="n">
        <f aca="false">INDEX(Data_Posts!$P$2:$P$301,MATCH(A369,Data_Posts!$A$2:$A$301,0))</f>
        <v>0.0970012726694241</v>
      </c>
      <c r="F369" s="26" t="n">
        <f aca="false">INDEX(Data_Posts!$K$2:$K$301,MATCH(A369,Data_Posts!$A$2:$A$301,0))</f>
        <v>32</v>
      </c>
    </row>
    <row r="370" customFormat="false" ht="15" hidden="false" customHeight="false" outlineLevel="0" collapsed="false">
      <c r="A370" s="26" t="s">
        <v>348</v>
      </c>
      <c r="B370" s="26" t="s">
        <v>39</v>
      </c>
      <c r="C370" s="26" t="s">
        <v>64</v>
      </c>
      <c r="D370" s="26" t="str">
        <f aca="false">INDEX(Data_Posts!$N$2:$N$301,MATCH(A370,Data_Posts!$A$2:$A$301,0))</f>
        <v>FashionUpgrade</v>
      </c>
      <c r="E370" s="28" t="n">
        <f aca="false">INDEX(Data_Posts!$P$2:$P$301,MATCH(A370,Data_Posts!$A$2:$A$301,0))</f>
        <v>0.258699849817636</v>
      </c>
      <c r="F370" s="26" t="n">
        <f aca="false">INDEX(Data_Posts!$K$2:$K$301,MATCH(A370,Data_Posts!$A$2:$A$301,0))</f>
        <v>63</v>
      </c>
    </row>
    <row r="371" customFormat="false" ht="15" hidden="false" customHeight="false" outlineLevel="0" collapsed="false">
      <c r="A371" s="26" t="s">
        <v>348</v>
      </c>
      <c r="B371" s="26" t="s">
        <v>39</v>
      </c>
      <c r="C371" s="26" t="s">
        <v>60</v>
      </c>
      <c r="D371" s="26" t="str">
        <f aca="false">INDEX(Data_Posts!$N$2:$N$301,MATCH(A371,Data_Posts!$A$2:$A$301,0))</f>
        <v>FashionUpgrade</v>
      </c>
      <c r="E371" s="28" t="n">
        <f aca="false">INDEX(Data_Posts!$P$2:$P$301,MATCH(A371,Data_Posts!$A$2:$A$301,0))</f>
        <v>0.258699849817636</v>
      </c>
      <c r="F371" s="26" t="n">
        <f aca="false">INDEX(Data_Posts!$K$2:$K$301,MATCH(A371,Data_Posts!$A$2:$A$301,0))</f>
        <v>63</v>
      </c>
    </row>
    <row r="372" customFormat="false" ht="15" hidden="false" customHeight="false" outlineLevel="0" collapsed="false">
      <c r="A372" s="26" t="s">
        <v>349</v>
      </c>
      <c r="B372" s="26" t="s">
        <v>36</v>
      </c>
      <c r="C372" s="26" t="s">
        <v>61</v>
      </c>
      <c r="D372" s="26" t="str">
        <f aca="false">INDEX(Data_Posts!$N$2:$N$301,MATCH(A372,Data_Posts!$A$2:$A$301,0))</f>
        <v>EndOfSeasonSale</v>
      </c>
      <c r="E372" s="28" t="n">
        <f aca="false">INDEX(Data_Posts!$P$2:$P$301,MATCH(A372,Data_Posts!$A$2:$A$301,0))</f>
        <v>0.122327044025157</v>
      </c>
      <c r="F372" s="26" t="n">
        <f aca="false">INDEX(Data_Posts!$K$2:$K$301,MATCH(A372,Data_Posts!$A$2:$A$301,0))</f>
        <v>177</v>
      </c>
    </row>
    <row r="373" customFormat="false" ht="15" hidden="false" customHeight="false" outlineLevel="0" collapsed="false">
      <c r="A373" s="26" t="s">
        <v>350</v>
      </c>
      <c r="B373" s="26" t="s">
        <v>36</v>
      </c>
      <c r="C373" s="26" t="s">
        <v>62</v>
      </c>
      <c r="D373" s="26" t="str">
        <f aca="false">INDEX(Data_Posts!$N$2:$N$301,MATCH(A373,Data_Posts!$A$2:$A$301,0))</f>
        <v>EndOfSeasonSale</v>
      </c>
      <c r="E373" s="28" t="n">
        <f aca="false">INDEX(Data_Posts!$P$2:$P$301,MATCH(A373,Data_Posts!$A$2:$A$301,0))</f>
        <v>0.2365625</v>
      </c>
      <c r="F373" s="26" t="n">
        <f aca="false">INDEX(Data_Posts!$K$2:$K$301,MATCH(A373,Data_Posts!$A$2:$A$301,0))</f>
        <v>160</v>
      </c>
    </row>
    <row r="374" customFormat="false" ht="15" hidden="false" customHeight="false" outlineLevel="0" collapsed="false">
      <c r="A374" s="26" t="s">
        <v>350</v>
      </c>
      <c r="B374" s="26" t="s">
        <v>36</v>
      </c>
      <c r="C374" s="26" t="s">
        <v>63</v>
      </c>
      <c r="D374" s="26" t="str">
        <f aca="false">INDEX(Data_Posts!$N$2:$N$301,MATCH(A374,Data_Posts!$A$2:$A$301,0))</f>
        <v>EndOfSeasonSale</v>
      </c>
      <c r="E374" s="28" t="n">
        <f aca="false">INDEX(Data_Posts!$P$2:$P$301,MATCH(A374,Data_Posts!$A$2:$A$301,0))</f>
        <v>0.2365625</v>
      </c>
      <c r="F374" s="26" t="n">
        <f aca="false">INDEX(Data_Posts!$K$2:$K$301,MATCH(A374,Data_Posts!$A$2:$A$301,0))</f>
        <v>160</v>
      </c>
    </row>
    <row r="375" customFormat="false" ht="15" hidden="false" customHeight="false" outlineLevel="0" collapsed="false">
      <c r="A375" s="26" t="s">
        <v>351</v>
      </c>
      <c r="B375" s="26" t="s">
        <v>36</v>
      </c>
      <c r="C375" s="26" t="s">
        <v>63</v>
      </c>
      <c r="D375" s="26" t="str">
        <f aca="false">INDEX(Data_Posts!$N$2:$N$301,MATCH(A375,Data_Posts!$A$2:$A$301,0))</f>
        <v>StyleRevolution</v>
      </c>
      <c r="E375" s="28" t="n">
        <f aca="false">INDEX(Data_Posts!$P$2:$P$301,MATCH(A375,Data_Posts!$A$2:$A$301,0))</f>
        <v>0.118799102132435</v>
      </c>
      <c r="F375" s="26" t="n">
        <f aca="false">INDEX(Data_Posts!$K$2:$K$301,MATCH(A375,Data_Posts!$A$2:$A$301,0))</f>
        <v>208</v>
      </c>
    </row>
    <row r="376" customFormat="false" ht="15" hidden="false" customHeight="false" outlineLevel="0" collapsed="false">
      <c r="A376" s="26" t="s">
        <v>351</v>
      </c>
      <c r="B376" s="26" t="s">
        <v>36</v>
      </c>
      <c r="C376" s="26" t="s">
        <v>61</v>
      </c>
      <c r="D376" s="26" t="str">
        <f aca="false">INDEX(Data_Posts!$N$2:$N$301,MATCH(A376,Data_Posts!$A$2:$A$301,0))</f>
        <v>StyleRevolution</v>
      </c>
      <c r="E376" s="28" t="n">
        <f aca="false">INDEX(Data_Posts!$P$2:$P$301,MATCH(A376,Data_Posts!$A$2:$A$301,0))</f>
        <v>0.118799102132435</v>
      </c>
      <c r="F376" s="26" t="n">
        <f aca="false">INDEX(Data_Posts!$K$2:$K$301,MATCH(A376,Data_Posts!$A$2:$A$301,0))</f>
        <v>208</v>
      </c>
    </row>
    <row r="377" customFormat="false" ht="15" hidden="false" customHeight="false" outlineLevel="0" collapsed="false">
      <c r="A377" s="26" t="s">
        <v>352</v>
      </c>
      <c r="B377" s="26" t="s">
        <v>36</v>
      </c>
      <c r="C377" s="26" t="s">
        <v>62</v>
      </c>
      <c r="D377" s="26" t="str">
        <f aca="false">INDEX(Data_Posts!$N$2:$N$301,MATCH(A377,Data_Posts!$A$2:$A$301,0))</f>
        <v>MyntraFestiveEdit</v>
      </c>
      <c r="E377" s="28" t="n">
        <f aca="false">INDEX(Data_Posts!$P$2:$P$301,MATCH(A377,Data_Posts!$A$2:$A$301,0))</f>
        <v>0.262979683972912</v>
      </c>
      <c r="F377" s="26" t="n">
        <f aca="false">INDEX(Data_Posts!$K$2:$K$301,MATCH(A377,Data_Posts!$A$2:$A$301,0))</f>
        <v>212</v>
      </c>
    </row>
    <row r="378" customFormat="false" ht="15" hidden="false" customHeight="false" outlineLevel="0" collapsed="false">
      <c r="A378" s="26" t="s">
        <v>353</v>
      </c>
      <c r="B378" s="26" t="s">
        <v>38</v>
      </c>
      <c r="C378" s="26" t="s">
        <v>64</v>
      </c>
      <c r="D378" s="26" t="str">
        <f aca="false">INDEX(Data_Posts!$N$2:$N$301,MATCH(A378,Data_Posts!$A$2:$A$301,0))</f>
        <v>EndOfSeasonSale</v>
      </c>
      <c r="E378" s="28" t="n">
        <f aca="false">INDEX(Data_Posts!$P$2:$P$301,MATCH(A378,Data_Posts!$A$2:$A$301,0))</f>
        <v>0.0877334408168749</v>
      </c>
      <c r="F378" s="26" t="n">
        <f aca="false">INDEX(Data_Posts!$K$2:$K$301,MATCH(A378,Data_Posts!$A$2:$A$301,0))</f>
        <v>254</v>
      </c>
    </row>
    <row r="379" customFormat="false" ht="15" hidden="false" customHeight="false" outlineLevel="0" collapsed="false">
      <c r="A379" s="26" t="s">
        <v>354</v>
      </c>
      <c r="B379" s="26" t="s">
        <v>36</v>
      </c>
      <c r="C379" s="26" t="s">
        <v>60</v>
      </c>
      <c r="D379" s="26" t="str">
        <f aca="false">INDEX(Data_Posts!$N$2:$N$301,MATCH(A379,Data_Posts!$A$2:$A$301,0))</f>
        <v>FashionUpgrade</v>
      </c>
      <c r="E379" s="28" t="n">
        <f aca="false">INDEX(Data_Posts!$P$2:$P$301,MATCH(A379,Data_Posts!$A$2:$A$301,0))</f>
        <v>0.0731707317073171</v>
      </c>
      <c r="F379" s="26" t="n">
        <f aca="false">INDEX(Data_Posts!$K$2:$K$301,MATCH(A379,Data_Posts!$A$2:$A$301,0))</f>
        <v>251</v>
      </c>
    </row>
    <row r="380" customFormat="false" ht="15" hidden="false" customHeight="false" outlineLevel="0" collapsed="false">
      <c r="A380" s="26" t="s">
        <v>354</v>
      </c>
      <c r="B380" s="26" t="s">
        <v>36</v>
      </c>
      <c r="C380" s="26" t="s">
        <v>63</v>
      </c>
      <c r="D380" s="26" t="str">
        <f aca="false">INDEX(Data_Posts!$N$2:$N$301,MATCH(A380,Data_Posts!$A$2:$A$301,0))</f>
        <v>FashionUpgrade</v>
      </c>
      <c r="E380" s="28" t="n">
        <f aca="false">INDEX(Data_Posts!$P$2:$P$301,MATCH(A380,Data_Posts!$A$2:$A$301,0))</f>
        <v>0.0731707317073171</v>
      </c>
      <c r="F380" s="26" t="n">
        <f aca="false">INDEX(Data_Posts!$K$2:$K$301,MATCH(A380,Data_Posts!$A$2:$A$301,0))</f>
        <v>251</v>
      </c>
    </row>
    <row r="381" customFormat="false" ht="15" hidden="false" customHeight="false" outlineLevel="0" collapsed="false">
      <c r="A381" s="26" t="s">
        <v>355</v>
      </c>
      <c r="B381" s="26" t="s">
        <v>37</v>
      </c>
      <c r="C381" s="26" t="s">
        <v>60</v>
      </c>
      <c r="D381" s="26" t="str">
        <f aca="false">INDEX(Data_Posts!$N$2:$N$301,MATCH(A381,Data_Posts!$A$2:$A$301,0))</f>
        <v>MyntraFestiveEdit</v>
      </c>
      <c r="E381" s="28" t="n">
        <f aca="false">INDEX(Data_Posts!$P$2:$P$301,MATCH(A381,Data_Posts!$A$2:$A$301,0))</f>
        <v>0.116194625998548</v>
      </c>
      <c r="F381" s="26" t="n">
        <f aca="false">INDEX(Data_Posts!$K$2:$K$301,MATCH(A381,Data_Posts!$A$2:$A$301,0))</f>
        <v>189</v>
      </c>
    </row>
    <row r="382" customFormat="false" ht="15" hidden="false" customHeight="false" outlineLevel="0" collapsed="false">
      <c r="A382" s="26" t="s">
        <v>355</v>
      </c>
      <c r="B382" s="26" t="s">
        <v>37</v>
      </c>
      <c r="C382" s="26" t="s">
        <v>61</v>
      </c>
      <c r="D382" s="26" t="str">
        <f aca="false">INDEX(Data_Posts!$N$2:$N$301,MATCH(A382,Data_Posts!$A$2:$A$301,0))</f>
        <v>MyntraFestiveEdit</v>
      </c>
      <c r="E382" s="28" t="n">
        <f aca="false">INDEX(Data_Posts!$P$2:$P$301,MATCH(A382,Data_Posts!$A$2:$A$301,0))</f>
        <v>0.116194625998548</v>
      </c>
      <c r="F382" s="26" t="n">
        <f aca="false">INDEX(Data_Posts!$K$2:$K$301,MATCH(A382,Data_Posts!$A$2:$A$301,0))</f>
        <v>189</v>
      </c>
    </row>
    <row r="383" customFormat="false" ht="15" hidden="false" customHeight="false" outlineLevel="0" collapsed="false">
      <c r="A383" s="26" t="s">
        <v>356</v>
      </c>
      <c r="B383" s="26" t="s">
        <v>36</v>
      </c>
      <c r="C383" s="26" t="s">
        <v>64</v>
      </c>
      <c r="D383" s="26" t="str">
        <f aca="false">INDEX(Data_Posts!$N$2:$N$301,MATCH(A383,Data_Posts!$A$2:$A$301,0))</f>
        <v>FashionUpgrade</v>
      </c>
      <c r="E383" s="28" t="n">
        <f aca="false">INDEX(Data_Posts!$P$2:$P$301,MATCH(A383,Data_Posts!$A$2:$A$301,0))</f>
        <v>0.157611297271422</v>
      </c>
      <c r="F383" s="26" t="n">
        <f aca="false">INDEX(Data_Posts!$K$2:$K$301,MATCH(A383,Data_Posts!$A$2:$A$301,0))</f>
        <v>64</v>
      </c>
    </row>
    <row r="384" customFormat="false" ht="15" hidden="false" customHeight="false" outlineLevel="0" collapsed="false">
      <c r="A384" s="26" t="s">
        <v>356</v>
      </c>
      <c r="B384" s="26" t="s">
        <v>36</v>
      </c>
      <c r="C384" s="26" t="s">
        <v>62</v>
      </c>
      <c r="D384" s="26" t="str">
        <f aca="false">INDEX(Data_Posts!$N$2:$N$301,MATCH(A384,Data_Posts!$A$2:$A$301,0))</f>
        <v>FashionUpgrade</v>
      </c>
      <c r="E384" s="28" t="n">
        <f aca="false">INDEX(Data_Posts!$P$2:$P$301,MATCH(A384,Data_Posts!$A$2:$A$301,0))</f>
        <v>0.157611297271422</v>
      </c>
      <c r="F384" s="26" t="n">
        <f aca="false">INDEX(Data_Posts!$K$2:$K$301,MATCH(A384,Data_Posts!$A$2:$A$301,0))</f>
        <v>64</v>
      </c>
    </row>
    <row r="385" customFormat="false" ht="15" hidden="false" customHeight="false" outlineLevel="0" collapsed="false">
      <c r="A385" s="26" t="s">
        <v>357</v>
      </c>
      <c r="B385" s="26" t="s">
        <v>38</v>
      </c>
      <c r="C385" s="26" t="s">
        <v>64</v>
      </c>
      <c r="D385" s="26" t="str">
        <f aca="false">INDEX(Data_Posts!$N$2:$N$301,MATCH(A385,Data_Posts!$A$2:$A$301,0))</f>
        <v>FashionUpgrade</v>
      </c>
      <c r="E385" s="28" t="n">
        <f aca="false">INDEX(Data_Posts!$P$2:$P$301,MATCH(A385,Data_Posts!$A$2:$A$301,0))</f>
        <v>0.0868975392847722</v>
      </c>
      <c r="F385" s="26" t="n">
        <f aca="false">INDEX(Data_Posts!$K$2:$K$301,MATCH(A385,Data_Posts!$A$2:$A$301,0))</f>
        <v>205</v>
      </c>
    </row>
    <row r="386" customFormat="false" ht="15" hidden="false" customHeight="false" outlineLevel="0" collapsed="false">
      <c r="A386" s="26" t="s">
        <v>357</v>
      </c>
      <c r="B386" s="26" t="s">
        <v>38</v>
      </c>
      <c r="C386" s="26" t="s">
        <v>60</v>
      </c>
      <c r="D386" s="26" t="str">
        <f aca="false">INDEX(Data_Posts!$N$2:$N$301,MATCH(A386,Data_Posts!$A$2:$A$301,0))</f>
        <v>FashionUpgrade</v>
      </c>
      <c r="E386" s="28" t="n">
        <f aca="false">INDEX(Data_Posts!$P$2:$P$301,MATCH(A386,Data_Posts!$A$2:$A$301,0))</f>
        <v>0.0868975392847722</v>
      </c>
      <c r="F386" s="26" t="n">
        <f aca="false">INDEX(Data_Posts!$K$2:$K$301,MATCH(A386,Data_Posts!$A$2:$A$301,0))</f>
        <v>205</v>
      </c>
    </row>
    <row r="387" customFormat="false" ht="15" hidden="false" customHeight="false" outlineLevel="0" collapsed="false">
      <c r="A387" s="26" t="s">
        <v>358</v>
      </c>
      <c r="B387" s="26" t="s">
        <v>38</v>
      </c>
      <c r="C387" s="26" t="s">
        <v>60</v>
      </c>
      <c r="D387" s="26" t="str">
        <f aca="false">INDEX(Data_Posts!$N$2:$N$301,MATCH(A387,Data_Posts!$A$2:$A$301,0))</f>
        <v>StyleRevolution</v>
      </c>
      <c r="E387" s="28" t="n">
        <f aca="false">INDEX(Data_Posts!$P$2:$P$301,MATCH(A387,Data_Posts!$A$2:$A$301,0))</f>
        <v>0.133311664190193</v>
      </c>
      <c r="F387" s="26" t="n">
        <f aca="false">INDEX(Data_Posts!$K$2:$K$301,MATCH(A387,Data_Posts!$A$2:$A$301,0))</f>
        <v>224</v>
      </c>
    </row>
    <row r="388" customFormat="false" ht="15" hidden="false" customHeight="false" outlineLevel="0" collapsed="false">
      <c r="A388" s="26" t="s">
        <v>358</v>
      </c>
      <c r="B388" s="26" t="s">
        <v>38</v>
      </c>
      <c r="C388" s="26" t="s">
        <v>63</v>
      </c>
      <c r="D388" s="26" t="str">
        <f aca="false">INDEX(Data_Posts!$N$2:$N$301,MATCH(A388,Data_Posts!$A$2:$A$301,0))</f>
        <v>StyleRevolution</v>
      </c>
      <c r="E388" s="28" t="n">
        <f aca="false">INDEX(Data_Posts!$P$2:$P$301,MATCH(A388,Data_Posts!$A$2:$A$301,0))</f>
        <v>0.133311664190193</v>
      </c>
      <c r="F388" s="26" t="n">
        <f aca="false">INDEX(Data_Posts!$K$2:$K$301,MATCH(A388,Data_Posts!$A$2:$A$301,0))</f>
        <v>224</v>
      </c>
    </row>
    <row r="389" customFormat="false" ht="15" hidden="false" customHeight="false" outlineLevel="0" collapsed="false">
      <c r="A389" s="26" t="s">
        <v>359</v>
      </c>
      <c r="B389" s="26" t="s">
        <v>36</v>
      </c>
      <c r="C389" s="26" t="s">
        <v>64</v>
      </c>
      <c r="D389" s="26" t="str">
        <f aca="false">INDEX(Data_Posts!$N$2:$N$301,MATCH(A389,Data_Posts!$A$2:$A$301,0))</f>
        <v>FashionUpgrade</v>
      </c>
      <c r="E389" s="28" t="n">
        <f aca="false">INDEX(Data_Posts!$P$2:$P$301,MATCH(A389,Data_Posts!$A$2:$A$301,0))</f>
        <v>0.119962835147332</v>
      </c>
      <c r="F389" s="26" t="n">
        <f aca="false">INDEX(Data_Posts!$K$2:$K$301,MATCH(A389,Data_Posts!$A$2:$A$301,0))</f>
        <v>226</v>
      </c>
    </row>
    <row r="390" customFormat="false" ht="15" hidden="false" customHeight="false" outlineLevel="0" collapsed="false">
      <c r="A390" s="26" t="s">
        <v>359</v>
      </c>
      <c r="B390" s="26" t="s">
        <v>36</v>
      </c>
      <c r="C390" s="26" t="s">
        <v>60</v>
      </c>
      <c r="D390" s="26" t="str">
        <f aca="false">INDEX(Data_Posts!$N$2:$N$301,MATCH(A390,Data_Posts!$A$2:$A$301,0))</f>
        <v>FashionUpgrade</v>
      </c>
      <c r="E390" s="28" t="n">
        <f aca="false">INDEX(Data_Posts!$P$2:$P$301,MATCH(A390,Data_Posts!$A$2:$A$301,0))</f>
        <v>0.119962835147332</v>
      </c>
      <c r="F390" s="26" t="n">
        <f aca="false">INDEX(Data_Posts!$K$2:$K$301,MATCH(A390,Data_Posts!$A$2:$A$301,0))</f>
        <v>226</v>
      </c>
    </row>
    <row r="391" customFormat="false" ht="15" hidden="false" customHeight="false" outlineLevel="0" collapsed="false">
      <c r="A391" s="26" t="s">
        <v>360</v>
      </c>
      <c r="B391" s="26" t="s">
        <v>39</v>
      </c>
      <c r="C391" s="26" t="s">
        <v>60</v>
      </c>
      <c r="D391" s="26" t="str">
        <f aca="false">INDEX(Data_Posts!$N$2:$N$301,MATCH(A391,Data_Posts!$A$2:$A$301,0))</f>
        <v>StyleRevolution</v>
      </c>
      <c r="E391" s="28" t="n">
        <f aca="false">INDEX(Data_Posts!$P$2:$P$301,MATCH(A391,Data_Posts!$A$2:$A$301,0))</f>
        <v>0.05793648844463</v>
      </c>
      <c r="F391" s="26" t="n">
        <f aca="false">INDEX(Data_Posts!$K$2:$K$301,MATCH(A391,Data_Posts!$A$2:$A$301,0))</f>
        <v>248</v>
      </c>
    </row>
    <row r="392" customFormat="false" ht="15" hidden="false" customHeight="false" outlineLevel="0" collapsed="false">
      <c r="A392" s="26" t="s">
        <v>360</v>
      </c>
      <c r="B392" s="26" t="s">
        <v>39</v>
      </c>
      <c r="C392" s="26" t="s">
        <v>62</v>
      </c>
      <c r="D392" s="26" t="str">
        <f aca="false">INDEX(Data_Posts!$N$2:$N$301,MATCH(A392,Data_Posts!$A$2:$A$301,0))</f>
        <v>StyleRevolution</v>
      </c>
      <c r="E392" s="28" t="n">
        <f aca="false">INDEX(Data_Posts!$P$2:$P$301,MATCH(A392,Data_Posts!$A$2:$A$301,0))</f>
        <v>0.05793648844463</v>
      </c>
      <c r="F392" s="26" t="n">
        <f aca="false">INDEX(Data_Posts!$K$2:$K$301,MATCH(A392,Data_Posts!$A$2:$A$301,0))</f>
        <v>248</v>
      </c>
    </row>
    <row r="393" customFormat="false" ht="15" hidden="false" customHeight="false" outlineLevel="0" collapsed="false">
      <c r="A393" s="26" t="s">
        <v>361</v>
      </c>
      <c r="B393" s="26" t="s">
        <v>36</v>
      </c>
      <c r="C393" s="26" t="s">
        <v>60</v>
      </c>
      <c r="D393" s="26" t="str">
        <f aca="false">INDEX(Data_Posts!$N$2:$N$301,MATCH(A393,Data_Posts!$A$2:$A$301,0))</f>
        <v>StyleRevolution</v>
      </c>
      <c r="E393" s="28" t="n">
        <f aca="false">INDEX(Data_Posts!$P$2:$P$301,MATCH(A393,Data_Posts!$A$2:$A$301,0))</f>
        <v>0.0799150485436893</v>
      </c>
      <c r="F393" s="26" t="n">
        <f aca="false">INDEX(Data_Posts!$K$2:$K$301,MATCH(A393,Data_Posts!$A$2:$A$301,0))</f>
        <v>25</v>
      </c>
    </row>
    <row r="394" customFormat="false" ht="15" hidden="false" customHeight="false" outlineLevel="0" collapsed="false">
      <c r="A394" s="26" t="s">
        <v>361</v>
      </c>
      <c r="B394" s="26" t="s">
        <v>36</v>
      </c>
      <c r="C394" s="26" t="s">
        <v>64</v>
      </c>
      <c r="D394" s="26" t="str">
        <f aca="false">INDEX(Data_Posts!$N$2:$N$301,MATCH(A394,Data_Posts!$A$2:$A$301,0))</f>
        <v>StyleRevolution</v>
      </c>
      <c r="E394" s="28" t="n">
        <f aca="false">INDEX(Data_Posts!$P$2:$P$301,MATCH(A394,Data_Posts!$A$2:$A$301,0))</f>
        <v>0.0799150485436893</v>
      </c>
      <c r="F394" s="26" t="n">
        <f aca="false">INDEX(Data_Posts!$K$2:$K$301,MATCH(A394,Data_Posts!$A$2:$A$301,0))</f>
        <v>25</v>
      </c>
    </row>
    <row r="395" customFormat="false" ht="15" hidden="false" customHeight="false" outlineLevel="0" collapsed="false">
      <c r="A395" s="26" t="s">
        <v>362</v>
      </c>
      <c r="B395" s="26" t="s">
        <v>37</v>
      </c>
      <c r="C395" s="26" t="s">
        <v>64</v>
      </c>
      <c r="D395" s="26" t="str">
        <f aca="false">INDEX(Data_Posts!$N$2:$N$301,MATCH(A395,Data_Posts!$A$2:$A$301,0))</f>
        <v>EndOfSeasonSale</v>
      </c>
      <c r="E395" s="28" t="n">
        <f aca="false">INDEX(Data_Posts!$P$2:$P$301,MATCH(A395,Data_Posts!$A$2:$A$301,0))</f>
        <v>0.202304915301305</v>
      </c>
      <c r="F395" s="26" t="n">
        <f aca="false">INDEX(Data_Posts!$K$2:$K$301,MATCH(A395,Data_Posts!$A$2:$A$301,0))</f>
        <v>172</v>
      </c>
    </row>
    <row r="396" customFormat="false" ht="15" hidden="false" customHeight="false" outlineLevel="0" collapsed="false">
      <c r="A396" s="26" t="s">
        <v>363</v>
      </c>
      <c r="B396" s="26" t="s">
        <v>36</v>
      </c>
      <c r="C396" s="26" t="s">
        <v>60</v>
      </c>
      <c r="D396" s="26" t="str">
        <f aca="false">INDEX(Data_Posts!$N$2:$N$301,MATCH(A396,Data_Posts!$A$2:$A$301,0))</f>
        <v>StyleRevolution</v>
      </c>
      <c r="E396" s="28" t="n">
        <f aca="false">INDEX(Data_Posts!$P$2:$P$301,MATCH(A396,Data_Posts!$A$2:$A$301,0))</f>
        <v>0.257710557532622</v>
      </c>
      <c r="F396" s="26" t="n">
        <f aca="false">INDEX(Data_Posts!$K$2:$K$301,MATCH(A396,Data_Posts!$A$2:$A$301,0))</f>
        <v>93</v>
      </c>
    </row>
    <row r="397" customFormat="false" ht="15" hidden="false" customHeight="false" outlineLevel="0" collapsed="false">
      <c r="A397" s="26" t="s">
        <v>363</v>
      </c>
      <c r="B397" s="26" t="s">
        <v>36</v>
      </c>
      <c r="C397" s="26" t="s">
        <v>62</v>
      </c>
      <c r="D397" s="26" t="str">
        <f aca="false">INDEX(Data_Posts!$N$2:$N$301,MATCH(A397,Data_Posts!$A$2:$A$301,0))</f>
        <v>StyleRevolution</v>
      </c>
      <c r="E397" s="28" t="n">
        <f aca="false">INDEX(Data_Posts!$P$2:$P$301,MATCH(A397,Data_Posts!$A$2:$A$301,0))</f>
        <v>0.257710557532622</v>
      </c>
      <c r="F397" s="26" t="n">
        <f aca="false">INDEX(Data_Posts!$K$2:$K$301,MATCH(A397,Data_Posts!$A$2:$A$301,0))</f>
        <v>93</v>
      </c>
    </row>
    <row r="398" customFormat="false" ht="15" hidden="false" customHeight="false" outlineLevel="0" collapsed="false">
      <c r="A398" s="26" t="s">
        <v>364</v>
      </c>
      <c r="B398" s="26" t="s">
        <v>37</v>
      </c>
      <c r="C398" s="26" t="s">
        <v>61</v>
      </c>
      <c r="D398" s="26" t="str">
        <f aca="false">INDEX(Data_Posts!$N$2:$N$301,MATCH(A398,Data_Posts!$A$2:$A$301,0))</f>
        <v>MyntraFestiveEdit</v>
      </c>
      <c r="E398" s="28" t="n">
        <f aca="false">INDEX(Data_Posts!$P$2:$P$301,MATCH(A398,Data_Posts!$A$2:$A$301,0))</f>
        <v>0.0877522754254056</v>
      </c>
      <c r="F398" s="26" t="n">
        <f aca="false">INDEX(Data_Posts!$K$2:$K$301,MATCH(A398,Data_Posts!$A$2:$A$301,0))</f>
        <v>10</v>
      </c>
    </row>
    <row r="399" customFormat="false" ht="15" hidden="false" customHeight="false" outlineLevel="0" collapsed="false">
      <c r="A399" s="26" t="s">
        <v>365</v>
      </c>
      <c r="B399" s="26" t="s">
        <v>37</v>
      </c>
      <c r="C399" s="26" t="s">
        <v>62</v>
      </c>
      <c r="D399" s="26" t="str">
        <f aca="false">INDEX(Data_Posts!$N$2:$N$301,MATCH(A399,Data_Posts!$A$2:$A$301,0))</f>
        <v>EndOfSeasonSale</v>
      </c>
      <c r="E399" s="28" t="n">
        <f aca="false">INDEX(Data_Posts!$P$2:$P$301,MATCH(A399,Data_Posts!$A$2:$A$301,0))</f>
        <v>0.0828353595713991</v>
      </c>
      <c r="F399" s="26" t="n">
        <f aca="false">INDEX(Data_Posts!$K$2:$K$301,MATCH(A399,Data_Posts!$A$2:$A$301,0))</f>
        <v>170</v>
      </c>
    </row>
    <row r="400" customFormat="false" ht="15" hidden="false" customHeight="false" outlineLevel="0" collapsed="false">
      <c r="A400" s="26" t="s">
        <v>366</v>
      </c>
      <c r="B400" s="26" t="s">
        <v>39</v>
      </c>
      <c r="C400" s="26" t="s">
        <v>62</v>
      </c>
      <c r="D400" s="26" t="str">
        <f aca="false">INDEX(Data_Posts!$N$2:$N$301,MATCH(A400,Data_Posts!$A$2:$A$301,0))</f>
        <v>MyntraFestiveEdit</v>
      </c>
      <c r="E400" s="28" t="n">
        <f aca="false">INDEX(Data_Posts!$P$2:$P$301,MATCH(A400,Data_Posts!$A$2:$A$301,0))</f>
        <v>0.153399668325041</v>
      </c>
      <c r="F400" s="26" t="n">
        <f aca="false">INDEX(Data_Posts!$K$2:$K$301,MATCH(A400,Data_Posts!$A$2:$A$301,0))</f>
        <v>237</v>
      </c>
    </row>
    <row r="401" customFormat="false" ht="15" hidden="false" customHeight="false" outlineLevel="0" collapsed="false">
      <c r="A401" s="26" t="s">
        <v>366</v>
      </c>
      <c r="B401" s="26" t="s">
        <v>39</v>
      </c>
      <c r="C401" s="26" t="s">
        <v>64</v>
      </c>
      <c r="D401" s="26" t="str">
        <f aca="false">INDEX(Data_Posts!$N$2:$N$301,MATCH(A401,Data_Posts!$A$2:$A$301,0))</f>
        <v>MyntraFestiveEdit</v>
      </c>
      <c r="E401" s="28" t="n">
        <f aca="false">INDEX(Data_Posts!$P$2:$P$301,MATCH(A401,Data_Posts!$A$2:$A$301,0))</f>
        <v>0.153399668325041</v>
      </c>
      <c r="F401" s="26" t="n">
        <f aca="false">INDEX(Data_Posts!$K$2:$K$301,MATCH(A401,Data_Posts!$A$2:$A$301,0))</f>
        <v>237</v>
      </c>
    </row>
    <row r="402" customFormat="false" ht="15" hidden="false" customHeight="false" outlineLevel="0" collapsed="false">
      <c r="A402" s="26" t="s">
        <v>367</v>
      </c>
      <c r="B402" s="26" t="s">
        <v>37</v>
      </c>
      <c r="C402" s="26" t="s">
        <v>63</v>
      </c>
      <c r="D402" s="26" t="str">
        <f aca="false">INDEX(Data_Posts!$N$2:$N$301,MATCH(A402,Data_Posts!$A$2:$A$301,0))</f>
        <v>FashionUpgrade</v>
      </c>
      <c r="E402" s="28" t="n">
        <f aca="false">INDEX(Data_Posts!$P$2:$P$301,MATCH(A402,Data_Posts!$A$2:$A$301,0))</f>
        <v>0.268766807529773</v>
      </c>
      <c r="F402" s="26" t="n">
        <f aca="false">INDEX(Data_Posts!$K$2:$K$301,MATCH(A402,Data_Posts!$A$2:$A$301,0))</f>
        <v>20</v>
      </c>
    </row>
    <row r="403" customFormat="false" ht="15" hidden="false" customHeight="false" outlineLevel="0" collapsed="false">
      <c r="A403" s="26" t="s">
        <v>368</v>
      </c>
      <c r="B403" s="26" t="s">
        <v>38</v>
      </c>
      <c r="C403" s="26" t="s">
        <v>63</v>
      </c>
      <c r="D403" s="26" t="str">
        <f aca="false">INDEX(Data_Posts!$N$2:$N$301,MATCH(A403,Data_Posts!$A$2:$A$301,0))</f>
        <v>StyleRevolution</v>
      </c>
      <c r="E403" s="28" t="n">
        <f aca="false">INDEX(Data_Posts!$P$2:$P$301,MATCH(A403,Data_Posts!$A$2:$A$301,0))</f>
        <v>0.533898305084746</v>
      </c>
      <c r="F403" s="26" t="n">
        <f aca="false">INDEX(Data_Posts!$K$2:$K$301,MATCH(A403,Data_Posts!$A$2:$A$301,0))</f>
        <v>293</v>
      </c>
    </row>
    <row r="404" customFormat="false" ht="15" hidden="false" customHeight="false" outlineLevel="0" collapsed="false">
      <c r="A404" s="26" t="s">
        <v>369</v>
      </c>
      <c r="B404" s="26" t="s">
        <v>38</v>
      </c>
      <c r="C404" s="26" t="s">
        <v>64</v>
      </c>
      <c r="D404" s="26" t="str">
        <f aca="false">INDEX(Data_Posts!$N$2:$N$301,MATCH(A404,Data_Posts!$A$2:$A$301,0))</f>
        <v>FashionUpgrade</v>
      </c>
      <c r="E404" s="28" t="n">
        <f aca="false">INDEX(Data_Posts!$P$2:$P$301,MATCH(A404,Data_Posts!$A$2:$A$301,0))</f>
        <v>0.252797016515717</v>
      </c>
      <c r="F404" s="26" t="n">
        <f aca="false">INDEX(Data_Posts!$K$2:$K$301,MATCH(A404,Data_Posts!$A$2:$A$301,0))</f>
        <v>41</v>
      </c>
    </row>
    <row r="405" customFormat="false" ht="15" hidden="false" customHeight="false" outlineLevel="0" collapsed="false">
      <c r="A405" s="26" t="s">
        <v>369</v>
      </c>
      <c r="B405" s="26" t="s">
        <v>38</v>
      </c>
      <c r="C405" s="26" t="s">
        <v>62</v>
      </c>
      <c r="D405" s="26" t="str">
        <f aca="false">INDEX(Data_Posts!$N$2:$N$301,MATCH(A405,Data_Posts!$A$2:$A$301,0))</f>
        <v>FashionUpgrade</v>
      </c>
      <c r="E405" s="28" t="n">
        <f aca="false">INDEX(Data_Posts!$P$2:$P$301,MATCH(A405,Data_Posts!$A$2:$A$301,0))</f>
        <v>0.252797016515717</v>
      </c>
      <c r="F405" s="26" t="n">
        <f aca="false">INDEX(Data_Posts!$K$2:$K$301,MATCH(A405,Data_Posts!$A$2:$A$301,0))</f>
        <v>41</v>
      </c>
    </row>
    <row r="406" customFormat="false" ht="15" hidden="false" customHeight="false" outlineLevel="0" collapsed="false">
      <c r="A406" s="26" t="s">
        <v>370</v>
      </c>
      <c r="B406" s="26" t="s">
        <v>36</v>
      </c>
      <c r="C406" s="26" t="s">
        <v>62</v>
      </c>
      <c r="D406" s="26" t="str">
        <f aca="false">INDEX(Data_Posts!$N$2:$N$301,MATCH(A406,Data_Posts!$A$2:$A$301,0))</f>
        <v>MyntraFestiveEdit</v>
      </c>
      <c r="E406" s="28" t="n">
        <f aca="false">INDEX(Data_Posts!$P$2:$P$301,MATCH(A406,Data_Posts!$A$2:$A$301,0))</f>
        <v>0.100868802805675</v>
      </c>
      <c r="F406" s="26" t="n">
        <f aca="false">INDEX(Data_Posts!$K$2:$K$301,MATCH(A406,Data_Posts!$A$2:$A$301,0))</f>
        <v>10</v>
      </c>
    </row>
    <row r="407" customFormat="false" ht="15" hidden="false" customHeight="false" outlineLevel="0" collapsed="false">
      <c r="A407" s="26" t="s">
        <v>370</v>
      </c>
      <c r="B407" s="26" t="s">
        <v>36</v>
      </c>
      <c r="C407" s="26" t="s">
        <v>64</v>
      </c>
      <c r="D407" s="26" t="str">
        <f aca="false">INDEX(Data_Posts!$N$2:$N$301,MATCH(A407,Data_Posts!$A$2:$A$301,0))</f>
        <v>MyntraFestiveEdit</v>
      </c>
      <c r="E407" s="28" t="n">
        <f aca="false">INDEX(Data_Posts!$P$2:$P$301,MATCH(A407,Data_Posts!$A$2:$A$301,0))</f>
        <v>0.100868802805675</v>
      </c>
      <c r="F407" s="26" t="n">
        <f aca="false">INDEX(Data_Posts!$K$2:$K$301,MATCH(A407,Data_Posts!$A$2:$A$301,0))</f>
        <v>10</v>
      </c>
    </row>
    <row r="408" customFormat="false" ht="15" hidden="false" customHeight="false" outlineLevel="0" collapsed="false">
      <c r="A408" s="26" t="s">
        <v>371</v>
      </c>
      <c r="B408" s="26" t="s">
        <v>38</v>
      </c>
      <c r="C408" s="26" t="s">
        <v>64</v>
      </c>
      <c r="D408" s="26" t="str">
        <f aca="false">INDEX(Data_Posts!$N$2:$N$301,MATCH(A408,Data_Posts!$A$2:$A$301,0))</f>
        <v>StyleRevolution</v>
      </c>
      <c r="E408" s="28" t="n">
        <f aca="false">INDEX(Data_Posts!$P$2:$P$301,MATCH(A408,Data_Posts!$A$2:$A$301,0))</f>
        <v>0.0639479340816814</v>
      </c>
      <c r="F408" s="26" t="n">
        <f aca="false">INDEX(Data_Posts!$K$2:$K$301,MATCH(A408,Data_Posts!$A$2:$A$301,0))</f>
        <v>62</v>
      </c>
    </row>
    <row r="409" customFormat="false" ht="15" hidden="false" customHeight="false" outlineLevel="0" collapsed="false">
      <c r="A409" s="26" t="s">
        <v>372</v>
      </c>
      <c r="B409" s="26" t="s">
        <v>37</v>
      </c>
      <c r="C409" s="26" t="s">
        <v>64</v>
      </c>
      <c r="D409" s="26" t="str">
        <f aca="false">INDEX(Data_Posts!$N$2:$N$301,MATCH(A409,Data_Posts!$A$2:$A$301,0))</f>
        <v>FashionUpgrade</v>
      </c>
      <c r="E409" s="28" t="n">
        <f aca="false">INDEX(Data_Posts!$P$2:$P$301,MATCH(A409,Data_Posts!$A$2:$A$301,0))</f>
        <v>0.0840626942395888</v>
      </c>
      <c r="F409" s="26" t="n">
        <f aca="false">INDEX(Data_Posts!$K$2:$K$301,MATCH(A409,Data_Posts!$A$2:$A$301,0))</f>
        <v>269</v>
      </c>
    </row>
    <row r="410" customFormat="false" ht="15" hidden="false" customHeight="false" outlineLevel="0" collapsed="false">
      <c r="A410" s="26" t="s">
        <v>372</v>
      </c>
      <c r="B410" s="26" t="s">
        <v>37</v>
      </c>
      <c r="C410" s="26" t="s">
        <v>61</v>
      </c>
      <c r="D410" s="26" t="str">
        <f aca="false">INDEX(Data_Posts!$N$2:$N$301,MATCH(A410,Data_Posts!$A$2:$A$301,0))</f>
        <v>FashionUpgrade</v>
      </c>
      <c r="E410" s="28" t="n">
        <f aca="false">INDEX(Data_Posts!$P$2:$P$301,MATCH(A410,Data_Posts!$A$2:$A$301,0))</f>
        <v>0.0840626942395888</v>
      </c>
      <c r="F410" s="26" t="n">
        <f aca="false">INDEX(Data_Posts!$K$2:$K$301,MATCH(A410,Data_Posts!$A$2:$A$301,0))</f>
        <v>269</v>
      </c>
    </row>
    <row r="411" customFormat="false" ht="15" hidden="false" customHeight="false" outlineLevel="0" collapsed="false">
      <c r="A411" s="26" t="s">
        <v>373</v>
      </c>
      <c r="B411" s="26" t="s">
        <v>37</v>
      </c>
      <c r="C411" s="26" t="s">
        <v>64</v>
      </c>
      <c r="D411" s="26" t="str">
        <f aca="false">INDEX(Data_Posts!$N$2:$N$301,MATCH(A411,Data_Posts!$A$2:$A$301,0))</f>
        <v>EndOfSeasonSale</v>
      </c>
      <c r="E411" s="28" t="n">
        <f aca="false">INDEX(Data_Posts!$P$2:$P$301,MATCH(A411,Data_Posts!$A$2:$A$301,0))</f>
        <v>0.221574216180662</v>
      </c>
      <c r="F411" s="26" t="n">
        <f aca="false">INDEX(Data_Posts!$K$2:$K$301,MATCH(A411,Data_Posts!$A$2:$A$301,0))</f>
        <v>45</v>
      </c>
    </row>
    <row r="412" customFormat="false" ht="15" hidden="false" customHeight="false" outlineLevel="0" collapsed="false">
      <c r="A412" s="26" t="s">
        <v>374</v>
      </c>
      <c r="B412" s="26" t="s">
        <v>39</v>
      </c>
      <c r="C412" s="26" t="s">
        <v>60</v>
      </c>
      <c r="D412" s="26" t="str">
        <f aca="false">INDEX(Data_Posts!$N$2:$N$301,MATCH(A412,Data_Posts!$A$2:$A$301,0))</f>
        <v>MyntraFestiveEdit</v>
      </c>
      <c r="E412" s="28" t="n">
        <f aca="false">INDEX(Data_Posts!$P$2:$P$301,MATCH(A412,Data_Posts!$A$2:$A$301,0))</f>
        <v>0.0671038685744568</v>
      </c>
      <c r="F412" s="26" t="n">
        <f aca="false">INDEX(Data_Posts!$K$2:$K$301,MATCH(A412,Data_Posts!$A$2:$A$301,0))</f>
        <v>241</v>
      </c>
    </row>
    <row r="413" customFormat="false" ht="15" hidden="false" customHeight="false" outlineLevel="0" collapsed="false">
      <c r="A413" s="26" t="s">
        <v>375</v>
      </c>
      <c r="B413" s="26" t="s">
        <v>37</v>
      </c>
      <c r="C413" s="26" t="s">
        <v>60</v>
      </c>
      <c r="D413" s="26" t="str">
        <f aca="false">INDEX(Data_Posts!$N$2:$N$301,MATCH(A413,Data_Posts!$A$2:$A$301,0))</f>
        <v>MyntraFestiveEdit</v>
      </c>
      <c r="E413" s="28" t="n">
        <f aca="false">INDEX(Data_Posts!$P$2:$P$301,MATCH(A413,Data_Posts!$A$2:$A$301,0))</f>
        <v>0.206759906759907</v>
      </c>
      <c r="F413" s="26" t="n">
        <f aca="false">INDEX(Data_Posts!$K$2:$K$301,MATCH(A413,Data_Posts!$A$2:$A$301,0))</f>
        <v>195</v>
      </c>
    </row>
    <row r="414" customFormat="false" ht="15" hidden="false" customHeight="false" outlineLevel="0" collapsed="false">
      <c r="A414" s="26" t="s">
        <v>376</v>
      </c>
      <c r="B414" s="26" t="s">
        <v>37</v>
      </c>
      <c r="C414" s="26" t="s">
        <v>62</v>
      </c>
      <c r="D414" s="26" t="str">
        <f aca="false">INDEX(Data_Posts!$N$2:$N$301,MATCH(A414,Data_Posts!$A$2:$A$301,0))</f>
        <v>EndOfSeasonSale</v>
      </c>
      <c r="E414" s="28" t="n">
        <f aca="false">INDEX(Data_Posts!$P$2:$P$301,MATCH(A414,Data_Posts!$A$2:$A$301,0))</f>
        <v>0.142202995345072</v>
      </c>
      <c r="F414" s="26" t="n">
        <f aca="false">INDEX(Data_Posts!$K$2:$K$301,MATCH(A414,Data_Posts!$A$2:$A$301,0))</f>
        <v>217</v>
      </c>
    </row>
    <row r="415" customFormat="false" ht="15" hidden="false" customHeight="false" outlineLevel="0" collapsed="false">
      <c r="A415" s="26" t="s">
        <v>377</v>
      </c>
      <c r="B415" s="26" t="s">
        <v>39</v>
      </c>
      <c r="C415" s="26" t="s">
        <v>63</v>
      </c>
      <c r="D415" s="26" t="str">
        <f aca="false">INDEX(Data_Posts!$N$2:$N$301,MATCH(A415,Data_Posts!$A$2:$A$301,0))</f>
        <v>EndOfSeasonSale</v>
      </c>
      <c r="E415" s="28" t="n">
        <f aca="false">INDEX(Data_Posts!$P$2:$P$301,MATCH(A415,Data_Posts!$A$2:$A$301,0))</f>
        <v>0.0977004319492647</v>
      </c>
      <c r="F415" s="26" t="n">
        <f aca="false">INDEX(Data_Posts!$K$2:$K$301,MATCH(A415,Data_Posts!$A$2:$A$301,0))</f>
        <v>296</v>
      </c>
    </row>
    <row r="416" customFormat="false" ht="15" hidden="false" customHeight="false" outlineLevel="0" collapsed="false">
      <c r="A416" s="26" t="s">
        <v>378</v>
      </c>
      <c r="B416" s="26" t="s">
        <v>38</v>
      </c>
      <c r="C416" s="26" t="s">
        <v>63</v>
      </c>
      <c r="D416" s="26" t="str">
        <f aca="false">INDEX(Data_Posts!$N$2:$N$301,MATCH(A416,Data_Posts!$A$2:$A$301,0))</f>
        <v>EndOfSeasonSale</v>
      </c>
      <c r="E416" s="28" t="n">
        <f aca="false">INDEX(Data_Posts!$P$2:$P$301,MATCH(A416,Data_Posts!$A$2:$A$301,0))</f>
        <v>0.0788495992456389</v>
      </c>
      <c r="F416" s="26" t="n">
        <f aca="false">INDEX(Data_Posts!$K$2:$K$301,MATCH(A416,Data_Posts!$A$2:$A$301,0))</f>
        <v>44</v>
      </c>
    </row>
    <row r="417" customFormat="false" ht="15" hidden="false" customHeight="false" outlineLevel="0" collapsed="false">
      <c r="A417" s="26" t="s">
        <v>378</v>
      </c>
      <c r="B417" s="26" t="s">
        <v>38</v>
      </c>
      <c r="C417" s="26" t="s">
        <v>64</v>
      </c>
      <c r="D417" s="26" t="str">
        <f aca="false">INDEX(Data_Posts!$N$2:$N$301,MATCH(A417,Data_Posts!$A$2:$A$301,0))</f>
        <v>EndOfSeasonSale</v>
      </c>
      <c r="E417" s="28" t="n">
        <f aca="false">INDEX(Data_Posts!$P$2:$P$301,MATCH(A417,Data_Posts!$A$2:$A$301,0))</f>
        <v>0.0788495992456389</v>
      </c>
      <c r="F417" s="26" t="n">
        <f aca="false">INDEX(Data_Posts!$K$2:$K$301,MATCH(A417,Data_Posts!$A$2:$A$301,0))</f>
        <v>44</v>
      </c>
    </row>
    <row r="418" customFormat="false" ht="15" hidden="false" customHeight="false" outlineLevel="0" collapsed="false">
      <c r="A418" s="26" t="s">
        <v>379</v>
      </c>
      <c r="B418" s="26" t="s">
        <v>36</v>
      </c>
      <c r="C418" s="26" t="s">
        <v>61</v>
      </c>
      <c r="D418" s="26" t="str">
        <f aca="false">INDEX(Data_Posts!$N$2:$N$301,MATCH(A418,Data_Posts!$A$2:$A$301,0))</f>
        <v>StyleRevolution</v>
      </c>
      <c r="E418" s="28" t="n">
        <f aca="false">INDEX(Data_Posts!$P$2:$P$301,MATCH(A418,Data_Posts!$A$2:$A$301,0))</f>
        <v>0.167547386559449</v>
      </c>
      <c r="F418" s="26" t="n">
        <f aca="false">INDEX(Data_Posts!$K$2:$K$301,MATCH(A418,Data_Posts!$A$2:$A$301,0))</f>
        <v>58</v>
      </c>
    </row>
    <row r="419" customFormat="false" ht="15" hidden="false" customHeight="false" outlineLevel="0" collapsed="false">
      <c r="A419" s="26" t="s">
        <v>379</v>
      </c>
      <c r="B419" s="26" t="s">
        <v>36</v>
      </c>
      <c r="C419" s="26" t="s">
        <v>60</v>
      </c>
      <c r="D419" s="26" t="str">
        <f aca="false">INDEX(Data_Posts!$N$2:$N$301,MATCH(A419,Data_Posts!$A$2:$A$301,0))</f>
        <v>StyleRevolution</v>
      </c>
      <c r="E419" s="28" t="n">
        <f aca="false">INDEX(Data_Posts!$P$2:$P$301,MATCH(A419,Data_Posts!$A$2:$A$301,0))</f>
        <v>0.167547386559449</v>
      </c>
      <c r="F419" s="26" t="n">
        <f aca="false">INDEX(Data_Posts!$K$2:$K$301,MATCH(A419,Data_Posts!$A$2:$A$301,0))</f>
        <v>58</v>
      </c>
    </row>
    <row r="420" customFormat="false" ht="15" hidden="false" customHeight="false" outlineLevel="0" collapsed="false">
      <c r="A420" s="26" t="s">
        <v>380</v>
      </c>
      <c r="B420" s="26" t="s">
        <v>38</v>
      </c>
      <c r="C420" s="26" t="s">
        <v>61</v>
      </c>
      <c r="D420" s="26" t="str">
        <f aca="false">INDEX(Data_Posts!$N$2:$N$301,MATCH(A420,Data_Posts!$A$2:$A$301,0))</f>
        <v>EndOfSeasonSale</v>
      </c>
      <c r="E420" s="28" t="n">
        <f aca="false">INDEX(Data_Posts!$P$2:$P$301,MATCH(A420,Data_Posts!$A$2:$A$301,0))</f>
        <v>0.201585261353899</v>
      </c>
      <c r="F420" s="26" t="n">
        <f aca="false">INDEX(Data_Posts!$K$2:$K$301,MATCH(A420,Data_Posts!$A$2:$A$301,0))</f>
        <v>137</v>
      </c>
    </row>
    <row r="421" customFormat="false" ht="15" hidden="false" customHeight="false" outlineLevel="0" collapsed="false">
      <c r="A421" s="26" t="s">
        <v>381</v>
      </c>
      <c r="B421" s="26" t="s">
        <v>36</v>
      </c>
      <c r="C421" s="26" t="s">
        <v>63</v>
      </c>
      <c r="D421" s="26" t="str">
        <f aca="false">INDEX(Data_Posts!$N$2:$N$301,MATCH(A421,Data_Posts!$A$2:$A$301,0))</f>
        <v>StyleRevolution</v>
      </c>
      <c r="E421" s="28" t="n">
        <f aca="false">INDEX(Data_Posts!$P$2:$P$301,MATCH(A421,Data_Posts!$A$2:$A$301,0))</f>
        <v>0.247639282341832</v>
      </c>
      <c r="F421" s="26" t="n">
        <f aca="false">INDEX(Data_Posts!$K$2:$K$301,MATCH(A421,Data_Posts!$A$2:$A$301,0))</f>
        <v>238</v>
      </c>
    </row>
    <row r="422" customFormat="false" ht="15" hidden="false" customHeight="false" outlineLevel="0" collapsed="false">
      <c r="A422" s="26" t="s">
        <v>381</v>
      </c>
      <c r="B422" s="26" t="s">
        <v>36</v>
      </c>
      <c r="C422" s="26" t="s">
        <v>62</v>
      </c>
      <c r="D422" s="26" t="str">
        <f aca="false">INDEX(Data_Posts!$N$2:$N$301,MATCH(A422,Data_Posts!$A$2:$A$301,0))</f>
        <v>StyleRevolution</v>
      </c>
      <c r="E422" s="28" t="n">
        <f aca="false">INDEX(Data_Posts!$P$2:$P$301,MATCH(A422,Data_Posts!$A$2:$A$301,0))</f>
        <v>0.247639282341832</v>
      </c>
      <c r="F422" s="26" t="n">
        <f aca="false">INDEX(Data_Posts!$K$2:$K$301,MATCH(A422,Data_Posts!$A$2:$A$301,0))</f>
        <v>238</v>
      </c>
    </row>
    <row r="423" customFormat="false" ht="15" hidden="false" customHeight="false" outlineLevel="0" collapsed="false">
      <c r="A423" s="26" t="s">
        <v>382</v>
      </c>
      <c r="B423" s="26" t="s">
        <v>38</v>
      </c>
      <c r="C423" s="26" t="s">
        <v>63</v>
      </c>
      <c r="D423" s="26" t="str">
        <f aca="false">INDEX(Data_Posts!$N$2:$N$301,MATCH(A423,Data_Posts!$A$2:$A$301,0))</f>
        <v>FashionUpgrade</v>
      </c>
      <c r="E423" s="28" t="n">
        <f aca="false">INDEX(Data_Posts!$P$2:$P$301,MATCH(A423,Data_Posts!$A$2:$A$301,0))</f>
        <v>0.111140188420968</v>
      </c>
      <c r="F423" s="26" t="n">
        <f aca="false">INDEX(Data_Posts!$K$2:$K$301,MATCH(A423,Data_Posts!$A$2:$A$301,0))</f>
        <v>282</v>
      </c>
    </row>
    <row r="424" customFormat="false" ht="15" hidden="false" customHeight="false" outlineLevel="0" collapsed="false">
      <c r="A424" s="26" t="s">
        <v>383</v>
      </c>
      <c r="B424" s="26" t="s">
        <v>39</v>
      </c>
      <c r="C424" s="26" t="s">
        <v>63</v>
      </c>
      <c r="D424" s="26" t="str">
        <f aca="false">INDEX(Data_Posts!$N$2:$N$301,MATCH(A424,Data_Posts!$A$2:$A$301,0))</f>
        <v>StyleRevolution</v>
      </c>
      <c r="E424" s="28" t="n">
        <f aca="false">INDEX(Data_Posts!$P$2:$P$301,MATCH(A424,Data_Posts!$A$2:$A$301,0))</f>
        <v>0.0599286442405708</v>
      </c>
      <c r="F424" s="26" t="n">
        <f aca="false">INDEX(Data_Posts!$K$2:$K$301,MATCH(A424,Data_Posts!$A$2:$A$301,0))</f>
        <v>279</v>
      </c>
    </row>
    <row r="425" customFormat="false" ht="15" hidden="false" customHeight="false" outlineLevel="0" collapsed="false">
      <c r="A425" s="26" t="s">
        <v>384</v>
      </c>
      <c r="B425" s="26" t="s">
        <v>39</v>
      </c>
      <c r="C425" s="26" t="s">
        <v>64</v>
      </c>
      <c r="D425" s="26" t="str">
        <f aca="false">INDEX(Data_Posts!$N$2:$N$301,MATCH(A425,Data_Posts!$A$2:$A$301,0))</f>
        <v>StyleRevolution</v>
      </c>
      <c r="E425" s="28" t="n">
        <f aca="false">INDEX(Data_Posts!$P$2:$P$301,MATCH(A425,Data_Posts!$A$2:$A$301,0))</f>
        <v>0.0832748538011696</v>
      </c>
      <c r="F425" s="26" t="n">
        <f aca="false">INDEX(Data_Posts!$K$2:$K$301,MATCH(A425,Data_Posts!$A$2:$A$301,0))</f>
        <v>104</v>
      </c>
    </row>
    <row r="426" customFormat="false" ht="15" hidden="false" customHeight="false" outlineLevel="0" collapsed="false">
      <c r="A426" s="26" t="s">
        <v>385</v>
      </c>
      <c r="B426" s="26" t="s">
        <v>39</v>
      </c>
      <c r="C426" s="26" t="s">
        <v>61</v>
      </c>
      <c r="D426" s="26" t="str">
        <f aca="false">INDEX(Data_Posts!$N$2:$N$301,MATCH(A426,Data_Posts!$A$2:$A$301,0))</f>
        <v>EndOfSeasonSale</v>
      </c>
      <c r="E426" s="28" t="n">
        <f aca="false">INDEX(Data_Posts!$P$2:$P$301,MATCH(A426,Data_Posts!$A$2:$A$301,0))</f>
        <v>0.0631185512739524</v>
      </c>
      <c r="F426" s="26" t="n">
        <f aca="false">INDEX(Data_Posts!$K$2:$K$301,MATCH(A426,Data_Posts!$A$2:$A$301,0))</f>
        <v>135</v>
      </c>
    </row>
    <row r="427" customFormat="false" ht="15" hidden="false" customHeight="false" outlineLevel="0" collapsed="false">
      <c r="A427" s="26" t="s">
        <v>385</v>
      </c>
      <c r="B427" s="26" t="s">
        <v>39</v>
      </c>
      <c r="C427" s="26" t="s">
        <v>64</v>
      </c>
      <c r="D427" s="26" t="str">
        <f aca="false">INDEX(Data_Posts!$N$2:$N$301,MATCH(A427,Data_Posts!$A$2:$A$301,0))</f>
        <v>EndOfSeasonSale</v>
      </c>
      <c r="E427" s="28" t="n">
        <f aca="false">INDEX(Data_Posts!$P$2:$P$301,MATCH(A427,Data_Posts!$A$2:$A$301,0))</f>
        <v>0.0631185512739524</v>
      </c>
      <c r="F427" s="26" t="n">
        <f aca="false">INDEX(Data_Posts!$K$2:$K$301,MATCH(A427,Data_Posts!$A$2:$A$301,0))</f>
        <v>135</v>
      </c>
    </row>
    <row r="428" customFormat="false" ht="15" hidden="false" customHeight="false" outlineLevel="0" collapsed="false">
      <c r="A428" s="26" t="s">
        <v>386</v>
      </c>
      <c r="B428" s="26" t="s">
        <v>37</v>
      </c>
      <c r="C428" s="26" t="s">
        <v>62</v>
      </c>
      <c r="D428" s="26" t="str">
        <f aca="false">INDEX(Data_Posts!$N$2:$N$301,MATCH(A428,Data_Posts!$A$2:$A$301,0))</f>
        <v>FashionUpgrade</v>
      </c>
      <c r="E428" s="28" t="n">
        <f aca="false">INDEX(Data_Posts!$P$2:$P$301,MATCH(A428,Data_Posts!$A$2:$A$301,0))</f>
        <v>0.107165012406948</v>
      </c>
      <c r="F428" s="26" t="n">
        <f aca="false">INDEX(Data_Posts!$K$2:$K$301,MATCH(A428,Data_Posts!$A$2:$A$301,0))</f>
        <v>30</v>
      </c>
    </row>
    <row r="429" customFormat="false" ht="15" hidden="false" customHeight="false" outlineLevel="0" collapsed="false">
      <c r="A429" s="26" t="s">
        <v>387</v>
      </c>
      <c r="B429" s="26" t="s">
        <v>38</v>
      </c>
      <c r="C429" s="26" t="s">
        <v>63</v>
      </c>
      <c r="D429" s="26" t="str">
        <f aca="false">INDEX(Data_Posts!$N$2:$N$301,MATCH(A429,Data_Posts!$A$2:$A$301,0))</f>
        <v>MyntraFestiveEdit</v>
      </c>
      <c r="E429" s="28" t="n">
        <f aca="false">INDEX(Data_Posts!$P$2:$P$301,MATCH(A429,Data_Posts!$A$2:$A$301,0))</f>
        <v>0.0582433214012161</v>
      </c>
      <c r="F429" s="26" t="n">
        <f aca="false">INDEX(Data_Posts!$K$2:$K$301,MATCH(A429,Data_Posts!$A$2:$A$301,0))</f>
        <v>157</v>
      </c>
    </row>
    <row r="430" customFormat="false" ht="15" hidden="false" customHeight="false" outlineLevel="0" collapsed="false">
      <c r="A430" s="26" t="s">
        <v>387</v>
      </c>
      <c r="B430" s="26" t="s">
        <v>38</v>
      </c>
      <c r="C430" s="26" t="s">
        <v>61</v>
      </c>
      <c r="D430" s="26" t="str">
        <f aca="false">INDEX(Data_Posts!$N$2:$N$301,MATCH(A430,Data_Posts!$A$2:$A$301,0))</f>
        <v>MyntraFestiveEdit</v>
      </c>
      <c r="E430" s="28" t="n">
        <f aca="false">INDEX(Data_Posts!$P$2:$P$301,MATCH(A430,Data_Posts!$A$2:$A$301,0))</f>
        <v>0.0582433214012161</v>
      </c>
      <c r="F430" s="26" t="n">
        <f aca="false">INDEX(Data_Posts!$K$2:$K$301,MATCH(A430,Data_Posts!$A$2:$A$301,0))</f>
        <v>157</v>
      </c>
    </row>
    <row r="431" customFormat="false" ht="15" hidden="false" customHeight="false" outlineLevel="0" collapsed="false">
      <c r="A431" s="26" t="s">
        <v>388</v>
      </c>
      <c r="B431" s="26" t="s">
        <v>38</v>
      </c>
      <c r="C431" s="26" t="s">
        <v>60</v>
      </c>
      <c r="D431" s="26" t="str">
        <f aca="false">INDEX(Data_Posts!$N$2:$N$301,MATCH(A431,Data_Posts!$A$2:$A$301,0))</f>
        <v>EndOfSeasonSale</v>
      </c>
      <c r="E431" s="28" t="n">
        <f aca="false">INDEX(Data_Posts!$P$2:$P$301,MATCH(A431,Data_Posts!$A$2:$A$301,0))</f>
        <v>0.114659524054806</v>
      </c>
      <c r="F431" s="26" t="n">
        <f aca="false">INDEX(Data_Posts!$K$2:$K$301,MATCH(A431,Data_Posts!$A$2:$A$301,0))</f>
        <v>231</v>
      </c>
    </row>
    <row r="432" customFormat="false" ht="15" hidden="false" customHeight="false" outlineLevel="0" collapsed="false">
      <c r="A432" s="26" t="s">
        <v>389</v>
      </c>
      <c r="B432" s="26" t="s">
        <v>39</v>
      </c>
      <c r="C432" s="26" t="s">
        <v>60</v>
      </c>
      <c r="D432" s="26" t="str">
        <f aca="false">INDEX(Data_Posts!$N$2:$N$301,MATCH(A432,Data_Posts!$A$2:$A$301,0))</f>
        <v>FashionUpgrade</v>
      </c>
      <c r="E432" s="28" t="n">
        <f aca="false">INDEX(Data_Posts!$P$2:$P$301,MATCH(A432,Data_Posts!$A$2:$A$301,0))</f>
        <v>0.13517919809887</v>
      </c>
      <c r="F432" s="26" t="n">
        <f aca="false">INDEX(Data_Posts!$K$2:$K$301,MATCH(A432,Data_Posts!$A$2:$A$301,0))</f>
        <v>174</v>
      </c>
    </row>
    <row r="433" customFormat="false" ht="15" hidden="false" customHeight="false" outlineLevel="0" collapsed="false">
      <c r="A433" s="26" t="s">
        <v>389</v>
      </c>
      <c r="B433" s="26" t="s">
        <v>39</v>
      </c>
      <c r="C433" s="26" t="s">
        <v>64</v>
      </c>
      <c r="D433" s="26" t="str">
        <f aca="false">INDEX(Data_Posts!$N$2:$N$301,MATCH(A433,Data_Posts!$A$2:$A$301,0))</f>
        <v>FashionUpgrade</v>
      </c>
      <c r="E433" s="28" t="n">
        <f aca="false">INDEX(Data_Posts!$P$2:$P$301,MATCH(A433,Data_Posts!$A$2:$A$301,0))</f>
        <v>0.13517919809887</v>
      </c>
      <c r="F433" s="26" t="n">
        <f aca="false">INDEX(Data_Posts!$K$2:$K$301,MATCH(A433,Data_Posts!$A$2:$A$301,0))</f>
        <v>174</v>
      </c>
    </row>
    <row r="434" customFormat="false" ht="15" hidden="false" customHeight="false" outlineLevel="0" collapsed="false">
      <c r="A434" s="26" t="s">
        <v>390</v>
      </c>
      <c r="B434" s="26" t="s">
        <v>39</v>
      </c>
      <c r="C434" s="26" t="s">
        <v>61</v>
      </c>
      <c r="D434" s="26" t="str">
        <f aca="false">INDEX(Data_Posts!$N$2:$N$301,MATCH(A434,Data_Posts!$A$2:$A$301,0))</f>
        <v>EndOfSeasonSale</v>
      </c>
      <c r="E434" s="28" t="n">
        <f aca="false">INDEX(Data_Posts!$P$2:$P$301,MATCH(A434,Data_Posts!$A$2:$A$301,0))</f>
        <v>0.194846070620635</v>
      </c>
      <c r="F434" s="26" t="n">
        <f aca="false">INDEX(Data_Posts!$K$2:$K$301,MATCH(A434,Data_Posts!$A$2:$A$301,0))</f>
        <v>228</v>
      </c>
    </row>
    <row r="435" customFormat="false" ht="15" hidden="false" customHeight="false" outlineLevel="0" collapsed="false">
      <c r="A435" s="26" t="s">
        <v>390</v>
      </c>
      <c r="B435" s="26" t="s">
        <v>39</v>
      </c>
      <c r="C435" s="26" t="s">
        <v>62</v>
      </c>
      <c r="D435" s="26" t="str">
        <f aca="false">INDEX(Data_Posts!$N$2:$N$301,MATCH(A435,Data_Posts!$A$2:$A$301,0))</f>
        <v>EndOfSeasonSale</v>
      </c>
      <c r="E435" s="28" t="n">
        <f aca="false">INDEX(Data_Posts!$P$2:$P$301,MATCH(A435,Data_Posts!$A$2:$A$301,0))</f>
        <v>0.194846070620635</v>
      </c>
      <c r="F435" s="26" t="n">
        <f aca="false">INDEX(Data_Posts!$K$2:$K$301,MATCH(A435,Data_Posts!$A$2:$A$301,0))</f>
        <v>228</v>
      </c>
    </row>
    <row r="436" customFormat="false" ht="15" hidden="false" customHeight="false" outlineLevel="0" collapsed="false">
      <c r="A436" s="26" t="s">
        <v>391</v>
      </c>
      <c r="B436" s="26" t="s">
        <v>37</v>
      </c>
      <c r="C436" s="26" t="s">
        <v>61</v>
      </c>
      <c r="D436" s="26" t="str">
        <f aca="false">INDEX(Data_Posts!$N$2:$N$301,MATCH(A436,Data_Posts!$A$2:$A$301,0))</f>
        <v>MyntraFestiveEdit</v>
      </c>
      <c r="E436" s="28" t="n">
        <f aca="false">INDEX(Data_Posts!$P$2:$P$301,MATCH(A436,Data_Posts!$A$2:$A$301,0))</f>
        <v>0.301260022909507</v>
      </c>
      <c r="F436" s="26" t="n">
        <f aca="false">INDEX(Data_Posts!$K$2:$K$301,MATCH(A436,Data_Posts!$A$2:$A$301,0))</f>
        <v>82</v>
      </c>
    </row>
    <row r="437" customFormat="false" ht="15" hidden="false" customHeight="false" outlineLevel="0" collapsed="false">
      <c r="A437" s="26" t="s">
        <v>391</v>
      </c>
      <c r="B437" s="26" t="s">
        <v>37</v>
      </c>
      <c r="C437" s="26" t="s">
        <v>63</v>
      </c>
      <c r="D437" s="26" t="str">
        <f aca="false">INDEX(Data_Posts!$N$2:$N$301,MATCH(A437,Data_Posts!$A$2:$A$301,0))</f>
        <v>MyntraFestiveEdit</v>
      </c>
      <c r="E437" s="28" t="n">
        <f aca="false">INDEX(Data_Posts!$P$2:$P$301,MATCH(A437,Data_Posts!$A$2:$A$301,0))</f>
        <v>0.301260022909507</v>
      </c>
      <c r="F437" s="26" t="n">
        <f aca="false">INDEX(Data_Posts!$K$2:$K$301,MATCH(A437,Data_Posts!$A$2:$A$301,0))</f>
        <v>82</v>
      </c>
    </row>
    <row r="438" customFormat="false" ht="15" hidden="false" customHeight="false" outlineLevel="0" collapsed="false">
      <c r="A438" s="26" t="s">
        <v>392</v>
      </c>
      <c r="B438" s="26" t="s">
        <v>39</v>
      </c>
      <c r="C438" s="26" t="s">
        <v>61</v>
      </c>
      <c r="D438" s="26" t="str">
        <f aca="false">INDEX(Data_Posts!$N$2:$N$301,MATCH(A438,Data_Posts!$A$2:$A$301,0))</f>
        <v>MyntraFestiveEdit</v>
      </c>
      <c r="E438" s="28" t="n">
        <f aca="false">INDEX(Data_Posts!$P$2:$P$301,MATCH(A438,Data_Posts!$A$2:$A$301,0))</f>
        <v>0.0680032543003254</v>
      </c>
      <c r="F438" s="26" t="n">
        <f aca="false">INDEX(Data_Posts!$K$2:$K$301,MATCH(A438,Data_Posts!$A$2:$A$301,0))</f>
        <v>262</v>
      </c>
    </row>
    <row r="439" customFormat="false" ht="15" hidden="false" customHeight="false" outlineLevel="0" collapsed="false">
      <c r="A439" s="26" t="s">
        <v>392</v>
      </c>
      <c r="B439" s="26" t="s">
        <v>39</v>
      </c>
      <c r="C439" s="26" t="s">
        <v>60</v>
      </c>
      <c r="D439" s="26" t="str">
        <f aca="false">INDEX(Data_Posts!$N$2:$N$301,MATCH(A439,Data_Posts!$A$2:$A$301,0))</f>
        <v>MyntraFestiveEdit</v>
      </c>
      <c r="E439" s="28" t="n">
        <f aca="false">INDEX(Data_Posts!$P$2:$P$301,MATCH(A439,Data_Posts!$A$2:$A$301,0))</f>
        <v>0.0680032543003254</v>
      </c>
      <c r="F439" s="26" t="n">
        <f aca="false">INDEX(Data_Posts!$K$2:$K$301,MATCH(A439,Data_Posts!$A$2:$A$301,0))</f>
        <v>262</v>
      </c>
    </row>
    <row r="440" customFormat="false" ht="15" hidden="false" customHeight="false" outlineLevel="0" collapsed="false">
      <c r="A440" s="26" t="s">
        <v>393</v>
      </c>
      <c r="B440" s="26" t="s">
        <v>36</v>
      </c>
      <c r="C440" s="26" t="s">
        <v>63</v>
      </c>
      <c r="D440" s="26" t="str">
        <f aca="false">INDEX(Data_Posts!$N$2:$N$301,MATCH(A440,Data_Posts!$A$2:$A$301,0))</f>
        <v>EndOfSeasonSale</v>
      </c>
      <c r="E440" s="28" t="n">
        <f aca="false">INDEX(Data_Posts!$P$2:$P$301,MATCH(A440,Data_Posts!$A$2:$A$301,0))</f>
        <v>0.0730189022173755</v>
      </c>
      <c r="F440" s="26" t="n">
        <f aca="false">INDEX(Data_Posts!$K$2:$K$301,MATCH(A440,Data_Posts!$A$2:$A$301,0))</f>
        <v>129</v>
      </c>
    </row>
    <row r="441" customFormat="false" ht="15" hidden="false" customHeight="false" outlineLevel="0" collapsed="false">
      <c r="A441" s="26" t="s">
        <v>393</v>
      </c>
      <c r="B441" s="26" t="s">
        <v>36</v>
      </c>
      <c r="C441" s="26" t="s">
        <v>64</v>
      </c>
      <c r="D441" s="26" t="str">
        <f aca="false">INDEX(Data_Posts!$N$2:$N$301,MATCH(A441,Data_Posts!$A$2:$A$301,0))</f>
        <v>EndOfSeasonSale</v>
      </c>
      <c r="E441" s="28" t="n">
        <f aca="false">INDEX(Data_Posts!$P$2:$P$301,MATCH(A441,Data_Posts!$A$2:$A$301,0))</f>
        <v>0.0730189022173755</v>
      </c>
      <c r="F441" s="26" t="n">
        <f aca="false">INDEX(Data_Posts!$K$2:$K$301,MATCH(A441,Data_Posts!$A$2:$A$301,0))</f>
        <v>129</v>
      </c>
    </row>
    <row r="442" customFormat="false" ht="15" hidden="false" customHeight="false" outlineLevel="0" collapsed="false">
      <c r="A442" s="26" t="s">
        <v>394</v>
      </c>
      <c r="B442" s="26" t="s">
        <v>37</v>
      </c>
      <c r="C442" s="26" t="s">
        <v>63</v>
      </c>
      <c r="D442" s="26" t="str">
        <f aca="false">INDEX(Data_Posts!$N$2:$N$301,MATCH(A442,Data_Posts!$A$2:$A$301,0))</f>
        <v>MyntraFestiveEdit</v>
      </c>
      <c r="E442" s="28" t="n">
        <f aca="false">INDEX(Data_Posts!$P$2:$P$301,MATCH(A442,Data_Posts!$A$2:$A$301,0))</f>
        <v>0.083921940869371</v>
      </c>
      <c r="F442" s="26" t="n">
        <f aca="false">INDEX(Data_Posts!$K$2:$K$301,MATCH(A442,Data_Posts!$A$2:$A$301,0))</f>
        <v>191</v>
      </c>
    </row>
    <row r="443" customFormat="false" ht="15" hidden="false" customHeight="false" outlineLevel="0" collapsed="false">
      <c r="A443" s="26" t="s">
        <v>395</v>
      </c>
      <c r="B443" s="26" t="s">
        <v>36</v>
      </c>
      <c r="C443" s="26" t="s">
        <v>61</v>
      </c>
      <c r="D443" s="26" t="str">
        <f aca="false">INDEX(Data_Posts!$N$2:$N$301,MATCH(A443,Data_Posts!$A$2:$A$301,0))</f>
        <v>EndOfSeasonSale</v>
      </c>
      <c r="E443" s="28" t="n">
        <f aca="false">INDEX(Data_Posts!$P$2:$P$301,MATCH(A443,Data_Posts!$A$2:$A$301,0))</f>
        <v>0.0719565372792909</v>
      </c>
      <c r="F443" s="26" t="n">
        <f aca="false">INDEX(Data_Posts!$K$2:$K$301,MATCH(A443,Data_Posts!$A$2:$A$301,0))</f>
        <v>35</v>
      </c>
    </row>
    <row r="444" customFormat="false" ht="15" hidden="false" customHeight="false" outlineLevel="0" collapsed="false">
      <c r="A444" s="26" t="s">
        <v>396</v>
      </c>
      <c r="B444" s="26" t="s">
        <v>36</v>
      </c>
      <c r="C444" s="26" t="s">
        <v>62</v>
      </c>
      <c r="D444" s="26" t="str">
        <f aca="false">INDEX(Data_Posts!$N$2:$N$301,MATCH(A444,Data_Posts!$A$2:$A$301,0))</f>
        <v>EndOfSeasonSale</v>
      </c>
      <c r="E444" s="28" t="n">
        <f aca="false">INDEX(Data_Posts!$P$2:$P$301,MATCH(A444,Data_Posts!$A$2:$A$301,0))</f>
        <v>0.123538961038961</v>
      </c>
      <c r="F444" s="26" t="n">
        <f aca="false">INDEX(Data_Posts!$K$2:$K$301,MATCH(A444,Data_Posts!$A$2:$A$301,0))</f>
        <v>238</v>
      </c>
    </row>
    <row r="445" customFormat="false" ht="15" hidden="false" customHeight="false" outlineLevel="0" collapsed="false">
      <c r="A445" s="26" t="s">
        <v>397</v>
      </c>
      <c r="B445" s="26" t="s">
        <v>36</v>
      </c>
      <c r="C445" s="26" t="s">
        <v>64</v>
      </c>
      <c r="D445" s="26" t="str">
        <f aca="false">INDEX(Data_Posts!$N$2:$N$301,MATCH(A445,Data_Posts!$A$2:$A$301,0))</f>
        <v>MyntraFestiveEdit</v>
      </c>
      <c r="E445" s="28" t="n">
        <f aca="false">INDEX(Data_Posts!$P$2:$P$301,MATCH(A445,Data_Posts!$A$2:$A$301,0))</f>
        <v>0.124283840684752</v>
      </c>
      <c r="F445" s="26" t="n">
        <f aca="false">INDEX(Data_Posts!$K$2:$K$301,MATCH(A445,Data_Posts!$A$2:$A$301,0))</f>
        <v>277</v>
      </c>
    </row>
    <row r="446" customFormat="false" ht="15" hidden="false" customHeight="false" outlineLevel="0" collapsed="false">
      <c r="A446" s="26" t="s">
        <v>398</v>
      </c>
      <c r="B446" s="26" t="s">
        <v>36</v>
      </c>
      <c r="C446" s="26" t="s">
        <v>63</v>
      </c>
      <c r="D446" s="26" t="str">
        <f aca="false">INDEX(Data_Posts!$N$2:$N$301,MATCH(A446,Data_Posts!$A$2:$A$301,0))</f>
        <v>StyleRevolution</v>
      </c>
      <c r="E446" s="28" t="n">
        <f aca="false">INDEX(Data_Posts!$P$2:$P$301,MATCH(A446,Data_Posts!$A$2:$A$301,0))</f>
        <v>0.182484323257944</v>
      </c>
      <c r="F446" s="26" t="n">
        <f aca="false">INDEX(Data_Posts!$K$2:$K$301,MATCH(A446,Data_Posts!$A$2:$A$301,0))</f>
        <v>89</v>
      </c>
    </row>
    <row r="447" customFormat="false" ht="15" hidden="false" customHeight="false" outlineLevel="0" collapsed="false">
      <c r="A447" s="26" t="s">
        <v>398</v>
      </c>
      <c r="B447" s="26" t="s">
        <v>36</v>
      </c>
      <c r="C447" s="26" t="s">
        <v>61</v>
      </c>
      <c r="D447" s="26" t="str">
        <f aca="false">INDEX(Data_Posts!$N$2:$N$301,MATCH(A447,Data_Posts!$A$2:$A$301,0))</f>
        <v>StyleRevolution</v>
      </c>
      <c r="E447" s="28" t="n">
        <f aca="false">INDEX(Data_Posts!$P$2:$P$301,MATCH(A447,Data_Posts!$A$2:$A$301,0))</f>
        <v>0.182484323257944</v>
      </c>
      <c r="F447" s="26" t="n">
        <f aca="false">INDEX(Data_Posts!$K$2:$K$301,MATCH(A447,Data_Posts!$A$2:$A$301,0))</f>
        <v>89</v>
      </c>
    </row>
    <row r="448" customFormat="false" ht="15" hidden="false" customHeight="false" outlineLevel="0" collapsed="false">
      <c r="A448" s="26" t="s">
        <v>399</v>
      </c>
      <c r="B448" s="26" t="s">
        <v>38</v>
      </c>
      <c r="C448" s="26" t="s">
        <v>62</v>
      </c>
      <c r="D448" s="26" t="str">
        <f aca="false">INDEX(Data_Posts!$N$2:$N$301,MATCH(A448,Data_Posts!$A$2:$A$301,0))</f>
        <v>MyntraFestiveEdit</v>
      </c>
      <c r="E448" s="28" t="n">
        <f aca="false">INDEX(Data_Posts!$P$2:$P$301,MATCH(A448,Data_Posts!$A$2:$A$301,0))</f>
        <v>0.165407274590164</v>
      </c>
      <c r="F448" s="26" t="n">
        <f aca="false">INDEX(Data_Posts!$K$2:$K$301,MATCH(A448,Data_Posts!$A$2:$A$301,0))</f>
        <v>235</v>
      </c>
    </row>
    <row r="449" customFormat="false" ht="15" hidden="false" customHeight="false" outlineLevel="0" collapsed="false">
      <c r="A449" s="26" t="s">
        <v>399</v>
      </c>
      <c r="B449" s="26" t="s">
        <v>38</v>
      </c>
      <c r="C449" s="26" t="s">
        <v>61</v>
      </c>
      <c r="D449" s="26" t="str">
        <f aca="false">INDEX(Data_Posts!$N$2:$N$301,MATCH(A449,Data_Posts!$A$2:$A$301,0))</f>
        <v>MyntraFestiveEdit</v>
      </c>
      <c r="E449" s="28" t="n">
        <f aca="false">INDEX(Data_Posts!$P$2:$P$301,MATCH(A449,Data_Posts!$A$2:$A$301,0))</f>
        <v>0.165407274590164</v>
      </c>
      <c r="F449" s="26" t="n">
        <f aca="false">INDEX(Data_Posts!$K$2:$K$301,MATCH(A449,Data_Posts!$A$2:$A$301,0))</f>
        <v>235</v>
      </c>
    </row>
    <row r="450" customFormat="false" ht="15" hidden="false" customHeight="false" outlineLevel="0" collapsed="false">
      <c r="A450" s="26" t="s">
        <v>400</v>
      </c>
      <c r="B450" s="26" t="s">
        <v>38</v>
      </c>
      <c r="C450" s="26" t="s">
        <v>61</v>
      </c>
      <c r="D450" s="26" t="str">
        <f aca="false">INDEX(Data_Posts!$N$2:$N$301,MATCH(A450,Data_Posts!$A$2:$A$301,0))</f>
        <v>FashionUpgrade</v>
      </c>
      <c r="E450" s="28" t="n">
        <f aca="false">INDEX(Data_Posts!$P$2:$P$301,MATCH(A450,Data_Posts!$A$2:$A$301,0))</f>
        <v>0.0593878248974008</v>
      </c>
      <c r="F450" s="26" t="n">
        <f aca="false">INDEX(Data_Posts!$K$2:$K$301,MATCH(A450,Data_Posts!$A$2:$A$301,0))</f>
        <v>210</v>
      </c>
    </row>
    <row r="451" customFormat="false" ht="15" hidden="false" customHeight="false" outlineLevel="0" collapsed="false">
      <c r="A451" s="26" t="s">
        <v>400</v>
      </c>
      <c r="B451" s="26" t="s">
        <v>38</v>
      </c>
      <c r="C451" s="26" t="s">
        <v>60</v>
      </c>
      <c r="D451" s="26" t="str">
        <f aca="false">INDEX(Data_Posts!$N$2:$N$301,MATCH(A451,Data_Posts!$A$2:$A$301,0))</f>
        <v>FashionUpgrade</v>
      </c>
      <c r="E451" s="28" t="n">
        <f aca="false">INDEX(Data_Posts!$P$2:$P$301,MATCH(A451,Data_Posts!$A$2:$A$301,0))</f>
        <v>0.0593878248974008</v>
      </c>
      <c r="F451" s="26" t="n">
        <f aca="false">INDEX(Data_Posts!$K$2:$K$301,MATCH(A451,Data_Posts!$A$2:$A$301,0))</f>
        <v>210</v>
      </c>
    </row>
    <row r="452" customFormat="false" ht="15" hidden="false" customHeight="false" outlineLevel="0" collapsed="false">
      <c r="A452" s="26" t="s">
        <v>401</v>
      </c>
      <c r="B452" s="26" t="s">
        <v>38</v>
      </c>
      <c r="C452" s="26" t="s">
        <v>64</v>
      </c>
      <c r="D452" s="26" t="str">
        <f aca="false">INDEX(Data_Posts!$N$2:$N$301,MATCH(A452,Data_Posts!$A$2:$A$301,0))</f>
        <v>FashionUpgrade</v>
      </c>
      <c r="E452" s="28" t="n">
        <f aca="false">INDEX(Data_Posts!$P$2:$P$301,MATCH(A452,Data_Posts!$A$2:$A$301,0))</f>
        <v>0.243490304709141</v>
      </c>
      <c r="F452" s="26" t="n">
        <f aca="false">INDEX(Data_Posts!$K$2:$K$301,MATCH(A452,Data_Posts!$A$2:$A$301,0))</f>
        <v>24</v>
      </c>
    </row>
    <row r="453" customFormat="false" ht="15" hidden="false" customHeight="false" outlineLevel="0" collapsed="false">
      <c r="A453" s="26" t="s">
        <v>401</v>
      </c>
      <c r="B453" s="26" t="s">
        <v>38</v>
      </c>
      <c r="C453" s="26" t="s">
        <v>63</v>
      </c>
      <c r="D453" s="26" t="str">
        <f aca="false">INDEX(Data_Posts!$N$2:$N$301,MATCH(A453,Data_Posts!$A$2:$A$301,0))</f>
        <v>FashionUpgrade</v>
      </c>
      <c r="E453" s="28" t="n">
        <f aca="false">INDEX(Data_Posts!$P$2:$P$301,MATCH(A453,Data_Posts!$A$2:$A$301,0))</f>
        <v>0.243490304709141</v>
      </c>
      <c r="F453" s="26" t="n">
        <f aca="false">INDEX(Data_Posts!$K$2:$K$301,MATCH(A453,Data_Posts!$A$2:$A$301,0))</f>
        <v>24</v>
      </c>
    </row>
    <row r="454" customFormat="false" ht="15" hidden="false" customHeight="false" outlineLevel="0" collapsed="false">
      <c r="A454" s="26" t="s">
        <v>402</v>
      </c>
      <c r="B454" s="26" t="s">
        <v>36</v>
      </c>
      <c r="C454" s="26" t="s">
        <v>62</v>
      </c>
      <c r="D454" s="26" t="str">
        <f aca="false">INDEX(Data_Posts!$N$2:$N$301,MATCH(A454,Data_Posts!$A$2:$A$301,0))</f>
        <v>EndOfSeasonSale</v>
      </c>
      <c r="E454" s="28" t="n">
        <f aca="false">INDEX(Data_Posts!$P$2:$P$301,MATCH(A454,Data_Posts!$A$2:$A$301,0))</f>
        <v>0.0585637927027655</v>
      </c>
      <c r="F454" s="26" t="n">
        <f aca="false">INDEX(Data_Posts!$K$2:$K$301,MATCH(A454,Data_Posts!$A$2:$A$301,0))</f>
        <v>14</v>
      </c>
    </row>
    <row r="455" customFormat="false" ht="15" hidden="false" customHeight="false" outlineLevel="0" collapsed="false">
      <c r="A455" s="26" t="s">
        <v>403</v>
      </c>
      <c r="B455" s="26" t="s">
        <v>36</v>
      </c>
      <c r="C455" s="26" t="s">
        <v>62</v>
      </c>
      <c r="D455" s="26" t="str">
        <f aca="false">INDEX(Data_Posts!$N$2:$N$301,MATCH(A455,Data_Posts!$A$2:$A$301,0))</f>
        <v>EndOfSeasonSale</v>
      </c>
      <c r="E455" s="28" t="n">
        <f aca="false">INDEX(Data_Posts!$P$2:$P$301,MATCH(A455,Data_Posts!$A$2:$A$301,0))</f>
        <v>0.138404580481295</v>
      </c>
      <c r="F455" s="26" t="n">
        <f aca="false">INDEX(Data_Posts!$K$2:$K$301,MATCH(A455,Data_Posts!$A$2:$A$301,0))</f>
        <v>70</v>
      </c>
    </row>
    <row r="456" customFormat="false" ht="15" hidden="false" customHeight="false" outlineLevel="0" collapsed="false">
      <c r="A456" s="26" t="s">
        <v>403</v>
      </c>
      <c r="B456" s="26" t="s">
        <v>36</v>
      </c>
      <c r="C456" s="26" t="s">
        <v>64</v>
      </c>
      <c r="D456" s="26" t="str">
        <f aca="false">INDEX(Data_Posts!$N$2:$N$301,MATCH(A456,Data_Posts!$A$2:$A$301,0))</f>
        <v>EndOfSeasonSale</v>
      </c>
      <c r="E456" s="28" t="n">
        <f aca="false">INDEX(Data_Posts!$P$2:$P$301,MATCH(A456,Data_Posts!$A$2:$A$301,0))</f>
        <v>0.138404580481295</v>
      </c>
      <c r="F456" s="26" t="n">
        <f aca="false">INDEX(Data_Posts!$K$2:$K$301,MATCH(A456,Data_Posts!$A$2:$A$301,0))</f>
        <v>70</v>
      </c>
    </row>
    <row r="457" customFormat="false" ht="15" hidden="false" customHeight="false" outlineLevel="0" collapsed="false">
      <c r="A457" s="26" t="s">
        <v>404</v>
      </c>
      <c r="B457" s="26" t="s">
        <v>38</v>
      </c>
      <c r="C457" s="26" t="s">
        <v>61</v>
      </c>
      <c r="D457" s="26" t="str">
        <f aca="false">INDEX(Data_Posts!$N$2:$N$301,MATCH(A457,Data_Posts!$A$2:$A$301,0))</f>
        <v>FashionUpgrade</v>
      </c>
      <c r="E457" s="28" t="n">
        <f aca="false">INDEX(Data_Posts!$P$2:$P$301,MATCH(A457,Data_Posts!$A$2:$A$301,0))</f>
        <v>0.0835399580392905</v>
      </c>
      <c r="F457" s="26" t="n">
        <f aca="false">INDEX(Data_Posts!$K$2:$K$301,MATCH(A457,Data_Posts!$A$2:$A$301,0))</f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29" t="s">
        <v>424</v>
      </c>
      <c r="B1" s="0" t="str">
        <f aca="false">IF(Dashboard!$C$4="All","*",Dashboard!$C$4)</f>
        <v>*</v>
      </c>
      <c r="D1" s="5" t="s">
        <v>425</v>
      </c>
    </row>
    <row r="2" customFormat="false" ht="15" hidden="false" customHeight="false" outlineLevel="0" collapsed="false">
      <c r="A2" s="29" t="s">
        <v>426</v>
      </c>
      <c r="B2" s="0" t="str">
        <f aca="false">IF(Dashboard!$F$4="All","*",Dashboard!$F$4)</f>
        <v>*</v>
      </c>
    </row>
    <row r="4" customFormat="false" ht="15" hidden="false" customHeight="false" outlineLevel="0" collapsed="false">
      <c r="A4" s="13" t="s">
        <v>405</v>
      </c>
      <c r="B4" s="13" t="s">
        <v>34</v>
      </c>
      <c r="C4" s="13" t="s">
        <v>427</v>
      </c>
      <c r="D4" s="13" t="s">
        <v>33</v>
      </c>
    </row>
    <row r="5" customFormat="false" ht="15" hidden="false" customHeight="false" outlineLevel="0" collapsed="false">
      <c r="A5" s="27" t="n">
        <v>45446</v>
      </c>
      <c r="B5" s="26" t="n">
        <f aca="false">SUMIFS(Data_Weekly!$H$2:$H$201,Data_Weekly!$A$2:$A$201,A5,Data_Weekly!$B$2:$B$201,Calc!$B$1)</f>
        <v>3554</v>
      </c>
      <c r="C5" s="30" t="n">
        <f aca="false">AVERAGE(B5:B5)</f>
        <v>3554</v>
      </c>
      <c r="D5" s="30" t="n">
        <f aca="false">SUMIFS(Data_Weekly!$G$2:$G$201,Data_Weekly!$A$2:$A$201,A5,Data_Weekly!$B$2:$B$201,Calc!$B$1)</f>
        <v>72893</v>
      </c>
    </row>
    <row r="6" customFormat="false" ht="15" hidden="false" customHeight="false" outlineLevel="0" collapsed="false">
      <c r="A6" s="27" t="n">
        <f aca="false">A5+7</f>
        <v>45453</v>
      </c>
      <c r="B6" s="26" t="n">
        <f aca="false">SUMIFS(Data_Weekly!$H$2:$H$201,Data_Weekly!$A$2:$A$201,A6,Data_Weekly!$B$2:$B$201,Calc!$B$1)</f>
        <v>2980</v>
      </c>
      <c r="C6" s="30" t="n">
        <f aca="false">AVERAGE(B5:B6)</f>
        <v>3267</v>
      </c>
      <c r="D6" s="30" t="n">
        <f aca="false">SUMIFS(Data_Weekly!$G$2:$G$201,Data_Weekly!$A$2:$A$201,A6,Data_Weekly!$B$2:$B$201,Calc!$B$1)</f>
        <v>47961</v>
      </c>
    </row>
    <row r="7" customFormat="false" ht="15" hidden="false" customHeight="false" outlineLevel="0" collapsed="false">
      <c r="A7" s="27" t="n">
        <f aca="false">A6+7</f>
        <v>45460</v>
      </c>
      <c r="B7" s="26" t="n">
        <f aca="false">SUMIFS(Data_Weekly!$H$2:$H$201,Data_Weekly!$A$2:$A$201,A7,Data_Weekly!$B$2:$B$201,Calc!$B$1)</f>
        <v>3907</v>
      </c>
      <c r="C7" s="30" t="n">
        <f aca="false">AVERAGE(B5:B7)</f>
        <v>3480.33333333333</v>
      </c>
      <c r="D7" s="30" t="n">
        <f aca="false">SUMIFS(Data_Weekly!$G$2:$G$201,Data_Weekly!$A$2:$A$201,A7,Data_Weekly!$B$2:$B$201,Calc!$B$1)</f>
        <v>104794</v>
      </c>
    </row>
    <row r="8" customFormat="false" ht="15" hidden="false" customHeight="false" outlineLevel="0" collapsed="false">
      <c r="A8" s="27" t="n">
        <f aca="false">A7+7</f>
        <v>45467</v>
      </c>
      <c r="B8" s="26" t="n">
        <f aca="false">SUMIFS(Data_Weekly!$H$2:$H$201,Data_Weekly!$A$2:$A$201,A8,Data_Weekly!$B$2:$B$201,Calc!$B$1)</f>
        <v>3011</v>
      </c>
      <c r="C8" s="30" t="n">
        <f aca="false">AVERAGE(B5:B8)</f>
        <v>3363</v>
      </c>
      <c r="D8" s="30" t="n">
        <f aca="false">SUMIFS(Data_Weekly!$G$2:$G$201,Data_Weekly!$A$2:$A$201,A8,Data_Weekly!$B$2:$B$201,Calc!$B$1)</f>
        <v>81748</v>
      </c>
    </row>
    <row r="9" customFormat="false" ht="15" hidden="false" customHeight="false" outlineLevel="0" collapsed="false">
      <c r="A9" s="27" t="n">
        <f aca="false">A8+7</f>
        <v>45474</v>
      </c>
      <c r="B9" s="26" t="n">
        <f aca="false">SUMIFS(Data_Weekly!$H$2:$H$201,Data_Weekly!$A$2:$A$201,A9,Data_Weekly!$B$2:$B$201,Calc!$B$1)</f>
        <v>1293</v>
      </c>
      <c r="C9" s="30" t="n">
        <f aca="false">AVERAGE(B6:B9)</f>
        <v>2797.75</v>
      </c>
      <c r="D9" s="30" t="n">
        <f aca="false">SUMIFS(Data_Weekly!$G$2:$G$201,Data_Weekly!$A$2:$A$201,A9,Data_Weekly!$B$2:$B$201,Calc!$B$1)</f>
        <v>87847</v>
      </c>
    </row>
    <row r="10" customFormat="false" ht="15" hidden="false" customHeight="false" outlineLevel="0" collapsed="false">
      <c r="A10" s="27" t="n">
        <f aca="false">A9+7</f>
        <v>45481</v>
      </c>
      <c r="B10" s="26" t="n">
        <f aca="false">SUMIFS(Data_Weekly!$H$2:$H$201,Data_Weekly!$A$2:$A$201,A10,Data_Weekly!$B$2:$B$201,Calc!$B$1)</f>
        <v>3042</v>
      </c>
      <c r="C10" s="30" t="n">
        <f aca="false">AVERAGE(B7:B10)</f>
        <v>2813.25</v>
      </c>
      <c r="D10" s="30" t="n">
        <f aca="false">SUMIFS(Data_Weekly!$G$2:$G$201,Data_Weekly!$A$2:$A$201,A10,Data_Weekly!$B$2:$B$201,Calc!$B$1)</f>
        <v>79341</v>
      </c>
    </row>
    <row r="11" customFormat="false" ht="15" hidden="false" customHeight="false" outlineLevel="0" collapsed="false">
      <c r="A11" s="27" t="n">
        <f aca="false">A10+7</f>
        <v>45488</v>
      </c>
      <c r="B11" s="26" t="n">
        <f aca="false">SUMIFS(Data_Weekly!$H$2:$H$201,Data_Weekly!$A$2:$A$201,A11,Data_Weekly!$B$2:$B$201,Calc!$B$1)</f>
        <v>2270</v>
      </c>
      <c r="C11" s="30" t="n">
        <f aca="false">AVERAGE(B8:B11)</f>
        <v>2404</v>
      </c>
      <c r="D11" s="30" t="n">
        <f aca="false">SUMIFS(Data_Weekly!$G$2:$G$201,Data_Weekly!$A$2:$A$201,A11,Data_Weekly!$B$2:$B$201,Calc!$B$1)</f>
        <v>115027</v>
      </c>
    </row>
    <row r="12" customFormat="false" ht="15" hidden="false" customHeight="false" outlineLevel="0" collapsed="false">
      <c r="A12" s="27" t="n">
        <f aca="false">A11+7</f>
        <v>45495</v>
      </c>
      <c r="B12" s="26" t="n">
        <f aca="false">SUMIFS(Data_Weekly!$H$2:$H$201,Data_Weekly!$A$2:$A$201,A12,Data_Weekly!$B$2:$B$201,Calc!$B$1)</f>
        <v>2753</v>
      </c>
      <c r="C12" s="30" t="n">
        <f aca="false">AVERAGE(B9:B12)</f>
        <v>2339.5</v>
      </c>
      <c r="D12" s="30" t="n">
        <f aca="false">SUMIFS(Data_Weekly!$G$2:$G$201,Data_Weekly!$A$2:$A$201,A12,Data_Weekly!$B$2:$B$201,Calc!$B$1)</f>
        <v>102610</v>
      </c>
    </row>
    <row r="13" customFormat="false" ht="15" hidden="false" customHeight="false" outlineLevel="0" collapsed="false">
      <c r="A13" s="27" t="n">
        <f aca="false">A12+7</f>
        <v>45502</v>
      </c>
      <c r="B13" s="26" t="n">
        <f aca="false">SUMIFS(Data_Weekly!$H$2:$H$201,Data_Weekly!$A$2:$A$201,A13,Data_Weekly!$B$2:$B$201,Calc!$B$1)</f>
        <v>2193</v>
      </c>
      <c r="C13" s="30" t="n">
        <f aca="false">AVERAGE(B10:B13)</f>
        <v>2564.5</v>
      </c>
      <c r="D13" s="30" t="n">
        <f aca="false">SUMIFS(Data_Weekly!$G$2:$G$201,Data_Weekly!$A$2:$A$201,A13,Data_Weekly!$B$2:$B$201,Calc!$B$1)</f>
        <v>76268</v>
      </c>
    </row>
    <row r="14" customFormat="false" ht="15" hidden="false" customHeight="false" outlineLevel="0" collapsed="false">
      <c r="A14" s="27" t="n">
        <f aca="false">A13+7</f>
        <v>45509</v>
      </c>
      <c r="B14" s="26" t="n">
        <f aca="false">SUMIFS(Data_Weekly!$H$2:$H$201,Data_Weekly!$A$2:$A$201,A14,Data_Weekly!$B$2:$B$201,Calc!$B$1)</f>
        <v>802</v>
      </c>
      <c r="C14" s="30" t="n">
        <f aca="false">AVERAGE(B11:B14)</f>
        <v>2004.5</v>
      </c>
      <c r="D14" s="30" t="n">
        <f aca="false">SUMIFS(Data_Weekly!$G$2:$G$201,Data_Weekly!$A$2:$A$201,A14,Data_Weekly!$B$2:$B$201,Calc!$B$1)</f>
        <v>137514</v>
      </c>
    </row>
    <row r="15" customFormat="false" ht="15" hidden="false" customHeight="false" outlineLevel="0" collapsed="false">
      <c r="A15" s="27" t="n">
        <f aca="false">A14+7</f>
        <v>45516</v>
      </c>
      <c r="B15" s="26" t="n">
        <f aca="false">SUMIFS(Data_Weekly!$H$2:$H$201,Data_Weekly!$A$2:$A$201,A15,Data_Weekly!$B$2:$B$201,Calc!$B$1)</f>
        <v>3728</v>
      </c>
      <c r="C15" s="30" t="n">
        <f aca="false">AVERAGE(B12:B15)</f>
        <v>2369</v>
      </c>
      <c r="D15" s="30" t="n">
        <f aca="false">SUMIFS(Data_Weekly!$G$2:$G$201,Data_Weekly!$A$2:$A$201,A15,Data_Weekly!$B$2:$B$201,Calc!$B$1)</f>
        <v>125177</v>
      </c>
    </row>
    <row r="16" customFormat="false" ht="15" hidden="false" customHeight="false" outlineLevel="0" collapsed="false">
      <c r="A16" s="27" t="n">
        <f aca="false">A15+7</f>
        <v>45523</v>
      </c>
      <c r="B16" s="26" t="n">
        <f aca="false">SUMIFS(Data_Weekly!$H$2:$H$201,Data_Weekly!$A$2:$A$201,A16,Data_Weekly!$B$2:$B$201,Calc!$B$1)</f>
        <v>2989</v>
      </c>
      <c r="C16" s="30" t="n">
        <f aca="false">AVERAGE(B13:B16)</f>
        <v>2428</v>
      </c>
      <c r="D16" s="30" t="n">
        <f aca="false">SUMIFS(Data_Weekly!$G$2:$G$201,Data_Weekly!$A$2:$A$201,A16,Data_Weekly!$B$2:$B$201,Calc!$B$1)</f>
        <v>82193</v>
      </c>
    </row>
    <row r="17" customFormat="false" ht="15" hidden="false" customHeight="false" outlineLevel="0" collapsed="false">
      <c r="A17" s="27" t="n">
        <f aca="false">A16+7</f>
        <v>45530</v>
      </c>
      <c r="B17" s="26" t="n">
        <f aca="false">SUMIFS(Data_Weekly!$H$2:$H$201,Data_Weekly!$A$2:$A$201,A17,Data_Weekly!$B$2:$B$201,Calc!$B$1)</f>
        <v>2903</v>
      </c>
      <c r="C17" s="30" t="n">
        <f aca="false">AVERAGE(B14:B17)</f>
        <v>2605.5</v>
      </c>
      <c r="D17" s="30" t="n">
        <f aca="false">SUMIFS(Data_Weekly!$G$2:$G$201,Data_Weekly!$A$2:$A$201,A17,Data_Weekly!$B$2:$B$201,Calc!$B$1)</f>
        <v>94709</v>
      </c>
    </row>
    <row r="18" customFormat="false" ht="15" hidden="false" customHeight="false" outlineLevel="0" collapsed="false">
      <c r="A18" s="27" t="n">
        <f aca="false">A17+7</f>
        <v>45537</v>
      </c>
      <c r="B18" s="26" t="n">
        <f aca="false">SUMIFS(Data_Weekly!$H$2:$H$201,Data_Weekly!$A$2:$A$201,A18,Data_Weekly!$B$2:$B$201,Calc!$B$1)</f>
        <v>2822</v>
      </c>
      <c r="C18" s="30" t="n">
        <f aca="false">AVERAGE(B15:B18)</f>
        <v>3110.5</v>
      </c>
      <c r="D18" s="30" t="n">
        <f aca="false">SUMIFS(Data_Weekly!$G$2:$G$201,Data_Weekly!$A$2:$A$201,A18,Data_Weekly!$B$2:$B$201,Calc!$B$1)</f>
        <v>100656</v>
      </c>
    </row>
    <row r="19" customFormat="false" ht="15" hidden="false" customHeight="false" outlineLevel="0" collapsed="false">
      <c r="A19" s="27" t="n">
        <f aca="false">A18+7</f>
        <v>45544</v>
      </c>
      <c r="B19" s="26" t="n">
        <f aca="false">SUMIFS(Data_Weekly!$H$2:$H$201,Data_Weekly!$A$2:$A$201,A19,Data_Weekly!$B$2:$B$201,Calc!$B$1)</f>
        <v>4360</v>
      </c>
      <c r="C19" s="30" t="n">
        <f aca="false">AVERAGE(B16:B19)</f>
        <v>3268.5</v>
      </c>
      <c r="D19" s="30" t="n">
        <f aca="false">SUMIFS(Data_Weekly!$G$2:$G$201,Data_Weekly!$A$2:$A$201,A19,Data_Weekly!$B$2:$B$201,Calc!$B$1)</f>
        <v>92834</v>
      </c>
    </row>
    <row r="20" customFormat="false" ht="15" hidden="false" customHeight="false" outlineLevel="0" collapsed="false">
      <c r="A20" s="27" t="n">
        <f aca="false">A19+7</f>
        <v>45551</v>
      </c>
      <c r="B20" s="26" t="n">
        <f aca="false">SUMIFS(Data_Weekly!$H$2:$H$201,Data_Weekly!$A$2:$A$201,A20,Data_Weekly!$B$2:$B$201,Calc!$B$1)</f>
        <v>1568</v>
      </c>
      <c r="C20" s="30" t="n">
        <f aca="false">AVERAGE(B17:B20)</f>
        <v>2913.25</v>
      </c>
      <c r="D20" s="30" t="n">
        <f aca="false">SUMIFS(Data_Weekly!$G$2:$G$201,Data_Weekly!$A$2:$A$201,A20,Data_Weekly!$B$2:$B$201,Calc!$B$1)</f>
        <v>105113</v>
      </c>
    </row>
    <row r="21" customFormat="false" ht="15" hidden="false" customHeight="false" outlineLevel="0" collapsed="false">
      <c r="A21" s="27" t="n">
        <f aca="false">A20+7</f>
        <v>45558</v>
      </c>
      <c r="B21" s="26" t="n">
        <f aca="false">SUMIFS(Data_Weekly!$H$2:$H$201,Data_Weekly!$A$2:$A$201,A21,Data_Weekly!$B$2:$B$201,Calc!$B$1)</f>
        <v>3333</v>
      </c>
      <c r="C21" s="30" t="n">
        <f aca="false">AVERAGE(B18:B21)</f>
        <v>3020.75</v>
      </c>
      <c r="D21" s="30" t="n">
        <f aca="false">SUMIFS(Data_Weekly!$G$2:$G$201,Data_Weekly!$A$2:$A$201,A21,Data_Weekly!$B$2:$B$201,Calc!$B$1)</f>
        <v>75885</v>
      </c>
    </row>
    <row r="22" customFormat="false" ht="15" hidden="false" customHeight="false" outlineLevel="0" collapsed="false">
      <c r="A22" s="27" t="n">
        <f aca="false">A21+7</f>
        <v>45565</v>
      </c>
      <c r="B22" s="26" t="n">
        <f aca="false">SUMIFS(Data_Weekly!$H$2:$H$201,Data_Weekly!$A$2:$A$201,A22,Data_Weekly!$B$2:$B$201,Calc!$B$1)</f>
        <v>3151</v>
      </c>
      <c r="C22" s="30" t="n">
        <f aca="false">AVERAGE(B19:B22)</f>
        <v>3103</v>
      </c>
      <c r="D22" s="30" t="n">
        <f aca="false">SUMIFS(Data_Weekly!$G$2:$G$201,Data_Weekly!$A$2:$A$201,A22,Data_Weekly!$B$2:$B$201,Calc!$B$1)</f>
        <v>81889</v>
      </c>
    </row>
    <row r="23" customFormat="false" ht="15" hidden="false" customHeight="false" outlineLevel="0" collapsed="false">
      <c r="A23" s="27" t="n">
        <f aca="false">A22+7</f>
        <v>45572</v>
      </c>
      <c r="B23" s="26" t="n">
        <f aca="false">SUMIFS(Data_Weekly!$H$2:$H$201,Data_Weekly!$A$2:$A$201,A23,Data_Weekly!$B$2:$B$201,Calc!$B$1)</f>
        <v>3759</v>
      </c>
      <c r="C23" s="30" t="n">
        <f aca="false">AVERAGE(B20:B23)</f>
        <v>2952.75</v>
      </c>
      <c r="D23" s="30" t="n">
        <f aca="false">SUMIFS(Data_Weekly!$G$2:$G$201,Data_Weekly!$A$2:$A$201,A23,Data_Weekly!$B$2:$B$201,Calc!$B$1)</f>
        <v>117382</v>
      </c>
    </row>
    <row r="24" customFormat="false" ht="15" hidden="false" customHeight="false" outlineLevel="0" collapsed="false">
      <c r="A24" s="27" t="n">
        <f aca="false">A23+7</f>
        <v>45579</v>
      </c>
      <c r="B24" s="26" t="n">
        <f aca="false">SUMIFS(Data_Weekly!$H$2:$H$201,Data_Weekly!$A$2:$A$201,A24,Data_Weekly!$B$2:$B$201,Calc!$B$1)</f>
        <v>1856</v>
      </c>
      <c r="C24" s="30" t="n">
        <f aca="false">AVERAGE(B21:B24)</f>
        <v>3024.75</v>
      </c>
      <c r="D24" s="30" t="n">
        <f aca="false">SUMIFS(Data_Weekly!$G$2:$G$201,Data_Weekly!$A$2:$A$201,A24,Data_Weekly!$B$2:$B$201,Calc!$B$1)</f>
        <v>83598</v>
      </c>
    </row>
    <row r="25" customFormat="false" ht="15" hidden="false" customHeight="false" outlineLevel="0" collapsed="false">
      <c r="A25" s="27" t="n">
        <f aca="false">A24+7</f>
        <v>45586</v>
      </c>
      <c r="B25" s="26" t="n">
        <f aca="false">SUMIFS(Data_Weekly!$H$2:$H$201,Data_Weekly!$A$2:$A$201,A25,Data_Weekly!$B$2:$B$201,Calc!$B$1)</f>
        <v>2821</v>
      </c>
      <c r="C25" s="30" t="n">
        <f aca="false">AVERAGE(B22:B25)</f>
        <v>2896.75</v>
      </c>
      <c r="D25" s="30" t="n">
        <f aca="false">SUMIFS(Data_Weekly!$G$2:$G$201,Data_Weekly!$A$2:$A$201,A25,Data_Weekly!$B$2:$B$201,Calc!$B$1)</f>
        <v>140831</v>
      </c>
    </row>
    <row r="26" customFormat="false" ht="15" hidden="false" customHeight="false" outlineLevel="0" collapsed="false">
      <c r="A26" s="27" t="n">
        <f aca="false">A25+7</f>
        <v>45593</v>
      </c>
      <c r="B26" s="26" t="n">
        <f aca="false">SUMIFS(Data_Weekly!$H$2:$H$201,Data_Weekly!$A$2:$A$201,A26,Data_Weekly!$B$2:$B$201,Calc!$B$1)</f>
        <v>2656</v>
      </c>
      <c r="C26" s="30" t="n">
        <f aca="false">AVERAGE(B23:B26)</f>
        <v>2773</v>
      </c>
      <c r="D26" s="30" t="n">
        <f aca="false">SUMIFS(Data_Weekly!$G$2:$G$201,Data_Weekly!$A$2:$A$201,A26,Data_Weekly!$B$2:$B$201,Calc!$B$1)</f>
        <v>105800</v>
      </c>
    </row>
    <row r="27" customFormat="false" ht="15" hidden="false" customHeight="false" outlineLevel="0" collapsed="false">
      <c r="A27" s="27" t="n">
        <f aca="false">A26+7</f>
        <v>45600</v>
      </c>
      <c r="B27" s="26" t="n">
        <f aca="false">SUMIFS(Data_Weekly!$H$2:$H$201,Data_Weekly!$A$2:$A$201,A27,Data_Weekly!$B$2:$B$201,Calc!$B$1)</f>
        <v>4584</v>
      </c>
      <c r="C27" s="30" t="n">
        <f aca="false">AVERAGE(B24:B27)</f>
        <v>2979.25</v>
      </c>
      <c r="D27" s="30" t="n">
        <f aca="false">SUMIFS(Data_Weekly!$G$2:$G$201,Data_Weekly!$A$2:$A$201,A27,Data_Weekly!$B$2:$B$201,Calc!$B$1)</f>
        <v>94018</v>
      </c>
    </row>
    <row r="28" customFormat="false" ht="15" hidden="false" customHeight="false" outlineLevel="0" collapsed="false">
      <c r="A28" s="27" t="n">
        <f aca="false">A27+7</f>
        <v>45607</v>
      </c>
      <c r="B28" s="26" t="n">
        <f aca="false">SUMIFS(Data_Weekly!$H$2:$H$201,Data_Weekly!$A$2:$A$201,A28,Data_Weekly!$B$2:$B$201,Calc!$B$1)</f>
        <v>2295</v>
      </c>
      <c r="C28" s="30" t="n">
        <f aca="false">AVERAGE(B25:B28)</f>
        <v>3089</v>
      </c>
      <c r="D28" s="30" t="n">
        <f aca="false">SUMIFS(Data_Weekly!$G$2:$G$201,Data_Weekly!$A$2:$A$201,A28,Data_Weekly!$B$2:$B$201,Calc!$B$1)</f>
        <v>125961</v>
      </c>
    </row>
    <row r="29" customFormat="false" ht="15" hidden="false" customHeight="false" outlineLevel="0" collapsed="false">
      <c r="A29" s="27" t="n">
        <f aca="false">A28+7</f>
        <v>45614</v>
      </c>
      <c r="B29" s="26" t="n">
        <f aca="false">SUMIFS(Data_Weekly!$H$2:$H$201,Data_Weekly!$A$2:$A$201,A29,Data_Weekly!$B$2:$B$201,Calc!$B$1)</f>
        <v>528</v>
      </c>
      <c r="C29" s="30" t="n">
        <f aca="false">AVERAGE(B26:B29)</f>
        <v>2515.75</v>
      </c>
      <c r="D29" s="30" t="n">
        <f aca="false">SUMIFS(Data_Weekly!$G$2:$G$201,Data_Weekly!$A$2:$A$201,A29,Data_Weekly!$B$2:$B$201,Calc!$B$1)</f>
        <v>97294</v>
      </c>
    </row>
    <row r="30" customFormat="false" ht="15" hidden="false" customHeight="false" outlineLevel="0" collapsed="false">
      <c r="A30" s="27" t="n">
        <f aca="false">A29+7</f>
        <v>45621</v>
      </c>
      <c r="B30" s="26" t="n">
        <f aca="false">SUMIFS(Data_Weekly!$H$2:$H$201,Data_Weekly!$A$2:$A$201,A30,Data_Weekly!$B$2:$B$201,Calc!$B$1)</f>
        <v>4008</v>
      </c>
      <c r="C30" s="30" t="n">
        <f aca="false">AVERAGE(B27:B30)</f>
        <v>2853.75</v>
      </c>
      <c r="D30" s="30" t="n">
        <f aca="false">SUMIFS(Data_Weekly!$G$2:$G$201,Data_Weekly!$A$2:$A$201,A30,Data_Weekly!$B$2:$B$201,Calc!$B$1)</f>
        <v>107714</v>
      </c>
    </row>
    <row r="31" customFormat="false" ht="15" hidden="false" customHeight="false" outlineLevel="0" collapsed="false">
      <c r="A31" s="27" t="n">
        <f aca="false">A30+7</f>
        <v>45628</v>
      </c>
      <c r="B31" s="26" t="n">
        <f aca="false">SUMIFS(Data_Weekly!$H$2:$H$201,Data_Weekly!$A$2:$A$201,A31,Data_Weekly!$B$2:$B$201,Calc!$B$1)</f>
        <v>4795</v>
      </c>
      <c r="C31" s="30" t="n">
        <f aca="false">AVERAGE(B28:B31)</f>
        <v>2906.5</v>
      </c>
      <c r="D31" s="30" t="n">
        <f aca="false">SUMIFS(Data_Weekly!$G$2:$G$201,Data_Weekly!$A$2:$A$201,A31,Data_Weekly!$B$2:$B$201,Calc!$B$1)</f>
        <v>106549</v>
      </c>
    </row>
    <row r="32" customFormat="false" ht="15" hidden="false" customHeight="false" outlineLevel="0" collapsed="false">
      <c r="A32" s="27" t="n">
        <f aca="false">A31+7</f>
        <v>45635</v>
      </c>
      <c r="B32" s="26" t="n">
        <f aca="false">SUMIFS(Data_Weekly!$H$2:$H$201,Data_Weekly!$A$2:$A$201,A32,Data_Weekly!$B$2:$B$201,Calc!$B$1)</f>
        <v>4792</v>
      </c>
      <c r="C32" s="30" t="n">
        <f aca="false">AVERAGE(B29:B32)</f>
        <v>3530.75</v>
      </c>
      <c r="D32" s="30" t="n">
        <f aca="false">SUMIFS(Data_Weekly!$G$2:$G$201,Data_Weekly!$A$2:$A$201,A32,Data_Weekly!$B$2:$B$201,Calc!$B$1)</f>
        <v>108811</v>
      </c>
    </row>
    <row r="33" customFormat="false" ht="15" hidden="false" customHeight="false" outlineLevel="0" collapsed="false">
      <c r="A33" s="27" t="n">
        <f aca="false">A32+7</f>
        <v>45642</v>
      </c>
      <c r="B33" s="26" t="n">
        <f aca="false">SUMIFS(Data_Weekly!$H$2:$H$201,Data_Weekly!$A$2:$A$201,A33,Data_Weekly!$B$2:$B$201,Calc!$B$1)</f>
        <v>5044</v>
      </c>
      <c r="C33" s="30" t="n">
        <f aca="false">AVERAGE(B30:B33)</f>
        <v>4659.75</v>
      </c>
      <c r="D33" s="30" t="n">
        <f aca="false">SUMIFS(Data_Weekly!$G$2:$G$201,Data_Weekly!$A$2:$A$201,A33,Data_Weekly!$B$2:$B$201,Calc!$B$1)</f>
        <v>102222</v>
      </c>
    </row>
    <row r="34" customFormat="false" ht="15" hidden="false" customHeight="false" outlineLevel="0" collapsed="false">
      <c r="A34" s="27" t="n">
        <f aca="false">A33+7</f>
        <v>45649</v>
      </c>
      <c r="B34" s="26" t="n">
        <f aca="false">SUMIFS(Data_Weekly!$H$2:$H$201,Data_Weekly!$A$2:$A$201,A34,Data_Weekly!$B$2:$B$201,Calc!$B$1)</f>
        <v>3914</v>
      </c>
      <c r="C34" s="30" t="n">
        <f aca="false">AVERAGE(B31:B34)</f>
        <v>4636.25</v>
      </c>
      <c r="D34" s="30" t="n">
        <f aca="false">SUMIFS(Data_Weekly!$G$2:$G$201,Data_Weekly!$A$2:$A$201,A34,Data_Weekly!$B$2:$B$201,Calc!$B$1)</f>
        <v>101698</v>
      </c>
    </row>
    <row r="35" customFormat="false" ht="15" hidden="false" customHeight="false" outlineLevel="0" collapsed="false">
      <c r="A35" s="27" t="n">
        <f aca="false">A34+7</f>
        <v>45656</v>
      </c>
      <c r="B35" s="26" t="n">
        <f aca="false">SUMIFS(Data_Weekly!$H$2:$H$201,Data_Weekly!$A$2:$A$201,A35,Data_Weekly!$B$2:$B$201,Calc!$B$1)</f>
        <v>6530</v>
      </c>
      <c r="C35" s="30" t="n">
        <f aca="false">AVERAGE(B32:B35)</f>
        <v>5070</v>
      </c>
      <c r="D35" s="30" t="n">
        <f aca="false">SUMIFS(Data_Weekly!$G$2:$G$201,Data_Weekly!$A$2:$A$201,A35,Data_Weekly!$B$2:$B$201,Calc!$B$1)</f>
        <v>78502</v>
      </c>
    </row>
    <row r="36" customFormat="false" ht="15" hidden="false" customHeight="false" outlineLevel="0" collapsed="false">
      <c r="A36" s="27" t="n">
        <f aca="false">A35+7</f>
        <v>45663</v>
      </c>
      <c r="B36" s="26" t="n">
        <f aca="false">SUMIFS(Data_Weekly!$H$2:$H$201,Data_Weekly!$A$2:$A$201,A36,Data_Weekly!$B$2:$B$201,Calc!$B$1)</f>
        <v>3557</v>
      </c>
      <c r="C36" s="30" t="n">
        <f aca="false">AVERAGE(B33:B36)</f>
        <v>4761.25</v>
      </c>
      <c r="D36" s="30" t="n">
        <f aca="false">SUMIFS(Data_Weekly!$G$2:$G$201,Data_Weekly!$A$2:$A$201,A36,Data_Weekly!$B$2:$B$201,Calc!$B$1)</f>
        <v>72926</v>
      </c>
    </row>
    <row r="37" customFormat="false" ht="15" hidden="false" customHeight="false" outlineLevel="0" collapsed="false">
      <c r="A37" s="27" t="n">
        <f aca="false">A36+7</f>
        <v>45670</v>
      </c>
      <c r="B37" s="26" t="n">
        <f aca="false">SUMIFS(Data_Weekly!$H$2:$H$201,Data_Weekly!$A$2:$A$201,A37,Data_Weekly!$B$2:$B$201,Calc!$B$1)</f>
        <v>2777</v>
      </c>
      <c r="C37" s="30" t="n">
        <f aca="false">AVERAGE(B34:B37)</f>
        <v>4194.5</v>
      </c>
      <c r="D37" s="30" t="n">
        <f aca="false">SUMIFS(Data_Weekly!$G$2:$G$201,Data_Weekly!$A$2:$A$201,A37,Data_Weekly!$B$2:$B$201,Calc!$B$1)</f>
        <v>113474</v>
      </c>
    </row>
    <row r="38" customFormat="false" ht="15" hidden="false" customHeight="false" outlineLevel="0" collapsed="false">
      <c r="A38" s="27" t="n">
        <f aca="false">A37+7</f>
        <v>45677</v>
      </c>
      <c r="B38" s="26" t="n">
        <f aca="false">SUMIFS(Data_Weekly!$H$2:$H$201,Data_Weekly!$A$2:$A$201,A38,Data_Weekly!$B$2:$B$201,Calc!$B$1)</f>
        <v>3614</v>
      </c>
      <c r="C38" s="30" t="n">
        <f aca="false">AVERAGE(B35:B38)</f>
        <v>4119.5</v>
      </c>
      <c r="D38" s="30" t="n">
        <f aca="false">SUMIFS(Data_Weekly!$G$2:$G$201,Data_Weekly!$A$2:$A$201,A38,Data_Weekly!$B$2:$B$201,Calc!$B$1)</f>
        <v>120060</v>
      </c>
    </row>
    <row r="39" customFormat="false" ht="15" hidden="false" customHeight="false" outlineLevel="0" collapsed="false">
      <c r="A39" s="27" t="n">
        <f aca="false">A38+7</f>
        <v>45684</v>
      </c>
      <c r="B39" s="26" t="n">
        <f aca="false">SUMIFS(Data_Weekly!$H$2:$H$201,Data_Weekly!$A$2:$A$201,A39,Data_Weekly!$B$2:$B$201,Calc!$B$1)</f>
        <v>3383</v>
      </c>
      <c r="C39" s="30" t="n">
        <f aca="false">AVERAGE(B36:B39)</f>
        <v>3332.75</v>
      </c>
      <c r="D39" s="30" t="n">
        <f aca="false">SUMIFS(Data_Weekly!$G$2:$G$201,Data_Weekly!$A$2:$A$201,A39,Data_Weekly!$B$2:$B$201,Calc!$B$1)</f>
        <v>109203</v>
      </c>
    </row>
    <row r="40" customFormat="false" ht="15" hidden="false" customHeight="false" outlineLevel="0" collapsed="false">
      <c r="A40" s="27" t="n">
        <f aca="false">A39+7</f>
        <v>45691</v>
      </c>
      <c r="B40" s="26" t="n">
        <f aca="false">SUMIFS(Data_Weekly!$H$2:$H$201,Data_Weekly!$A$2:$A$201,A40,Data_Weekly!$B$2:$B$201,Calc!$B$1)</f>
        <v>2194</v>
      </c>
      <c r="C40" s="30" t="n">
        <f aca="false">AVERAGE(B37:B40)</f>
        <v>2992</v>
      </c>
      <c r="D40" s="30" t="n">
        <f aca="false">SUMIFS(Data_Weekly!$G$2:$G$201,Data_Weekly!$A$2:$A$201,A40,Data_Weekly!$B$2:$B$201,Calc!$B$1)</f>
        <v>117419</v>
      </c>
    </row>
    <row r="41" customFormat="false" ht="15" hidden="false" customHeight="false" outlineLevel="0" collapsed="false">
      <c r="A41" s="27" t="n">
        <f aca="false">A40+7</f>
        <v>45698</v>
      </c>
      <c r="B41" s="26" t="n">
        <f aca="false">SUMIFS(Data_Weekly!$H$2:$H$201,Data_Weekly!$A$2:$A$201,A41,Data_Weekly!$B$2:$B$201,Calc!$B$1)</f>
        <v>5281</v>
      </c>
      <c r="C41" s="30" t="n">
        <f aca="false">AVERAGE(B38:B41)</f>
        <v>3618</v>
      </c>
      <c r="D41" s="30" t="n">
        <f aca="false">SUMIFS(Data_Weekly!$G$2:$G$201,Data_Weekly!$A$2:$A$201,A41,Data_Weekly!$B$2:$B$201,Calc!$B$1)</f>
        <v>94129</v>
      </c>
    </row>
    <row r="42" customFormat="false" ht="15" hidden="false" customHeight="false" outlineLevel="0" collapsed="false">
      <c r="A42" s="27" t="n">
        <f aca="false">A41+7</f>
        <v>45705</v>
      </c>
      <c r="B42" s="26" t="n">
        <f aca="false">SUMIFS(Data_Weekly!$H$2:$H$201,Data_Weekly!$A$2:$A$201,A42,Data_Weekly!$B$2:$B$201,Calc!$B$1)</f>
        <v>3693</v>
      </c>
      <c r="C42" s="30" t="n">
        <f aca="false">AVERAGE(B39:B42)</f>
        <v>3637.75</v>
      </c>
      <c r="D42" s="30" t="n">
        <f aca="false">SUMIFS(Data_Weekly!$G$2:$G$201,Data_Weekly!$A$2:$A$201,A42,Data_Weekly!$B$2:$B$201,Calc!$B$1)</f>
        <v>136582</v>
      </c>
    </row>
    <row r="43" customFormat="false" ht="15" hidden="false" customHeight="false" outlineLevel="0" collapsed="false">
      <c r="A43" s="27" t="n">
        <f aca="false">A42+7</f>
        <v>45712</v>
      </c>
      <c r="B43" s="26" t="n">
        <f aca="false">SUMIFS(Data_Weekly!$H$2:$H$201,Data_Weekly!$A$2:$A$201,A43,Data_Weekly!$B$2:$B$201,Calc!$B$1)</f>
        <v>4806</v>
      </c>
      <c r="C43" s="30" t="n">
        <f aca="false">AVERAGE(B40:B43)</f>
        <v>3993.5</v>
      </c>
      <c r="D43" s="30" t="n">
        <f aca="false">SUMIFS(Data_Weekly!$G$2:$G$201,Data_Weekly!$A$2:$A$201,A43,Data_Weekly!$B$2:$B$201,Calc!$B$1)</f>
        <v>120234</v>
      </c>
    </row>
    <row r="44" customFormat="false" ht="15" hidden="false" customHeight="false" outlineLevel="0" collapsed="false">
      <c r="A44" s="27" t="n">
        <f aca="false">A43+7</f>
        <v>45719</v>
      </c>
      <c r="B44" s="26" t="n">
        <f aca="false">SUMIFS(Data_Weekly!$H$2:$H$201,Data_Weekly!$A$2:$A$201,A44,Data_Weekly!$B$2:$B$201,Calc!$B$1)</f>
        <v>2410</v>
      </c>
      <c r="C44" s="30" t="n">
        <f aca="false">AVERAGE(B41:B44)</f>
        <v>4047.5</v>
      </c>
      <c r="D44" s="30" t="n">
        <f aca="false">SUMIFS(Data_Weekly!$G$2:$G$201,Data_Weekly!$A$2:$A$201,A44,Data_Weekly!$B$2:$B$201,Calc!$B$1)</f>
        <v>95341</v>
      </c>
    </row>
    <row r="45" customFormat="false" ht="15" hidden="false" customHeight="false" outlineLevel="0" collapsed="false">
      <c r="A45" s="27" t="n">
        <f aca="false">A44+7</f>
        <v>45726</v>
      </c>
      <c r="B45" s="26" t="n">
        <f aca="false">SUMIFS(Data_Weekly!$H$2:$H$201,Data_Weekly!$A$2:$A$201,A45,Data_Weekly!$B$2:$B$201,Calc!$B$1)</f>
        <v>3712</v>
      </c>
      <c r="C45" s="30" t="n">
        <f aca="false">AVERAGE(B42:B45)</f>
        <v>3655.25</v>
      </c>
      <c r="D45" s="30" t="n">
        <f aca="false">SUMIFS(Data_Weekly!$G$2:$G$201,Data_Weekly!$A$2:$A$201,A45,Data_Weekly!$B$2:$B$201,Calc!$B$1)</f>
        <v>53940</v>
      </c>
    </row>
    <row r="46" customFormat="false" ht="15" hidden="false" customHeight="false" outlineLevel="0" collapsed="false">
      <c r="A46" s="27" t="n">
        <f aca="false">A45+7</f>
        <v>45733</v>
      </c>
      <c r="B46" s="26" t="n">
        <f aca="false">SUMIFS(Data_Weekly!$H$2:$H$201,Data_Weekly!$A$2:$A$201,A46,Data_Weekly!$B$2:$B$201,Calc!$B$1)</f>
        <v>4042</v>
      </c>
      <c r="C46" s="30" t="n">
        <f aca="false">AVERAGE(B43:B46)</f>
        <v>3742.5</v>
      </c>
      <c r="D46" s="30" t="n">
        <f aca="false">SUMIFS(Data_Weekly!$G$2:$G$201,Data_Weekly!$A$2:$A$201,A46,Data_Weekly!$B$2:$B$201,Calc!$B$1)</f>
        <v>88465</v>
      </c>
    </row>
    <row r="47" customFormat="false" ht="15" hidden="false" customHeight="false" outlineLevel="0" collapsed="false">
      <c r="A47" s="27" t="n">
        <f aca="false">A46+7</f>
        <v>45740</v>
      </c>
      <c r="B47" s="26" t="n">
        <f aca="false">SUMIFS(Data_Weekly!$H$2:$H$201,Data_Weekly!$A$2:$A$201,A47,Data_Weekly!$B$2:$B$201,Calc!$B$1)</f>
        <v>1616</v>
      </c>
      <c r="C47" s="30" t="n">
        <f aca="false">AVERAGE(B44:B47)</f>
        <v>2945</v>
      </c>
      <c r="D47" s="30" t="n">
        <f aca="false">SUMIFS(Data_Weekly!$G$2:$G$201,Data_Weekly!$A$2:$A$201,A47,Data_Weekly!$B$2:$B$201,Calc!$B$1)</f>
        <v>111650</v>
      </c>
    </row>
    <row r="48" customFormat="false" ht="15" hidden="false" customHeight="false" outlineLevel="0" collapsed="false">
      <c r="A48" s="27" t="n">
        <f aca="false">A47+7</f>
        <v>45747</v>
      </c>
      <c r="B48" s="26" t="n">
        <f aca="false">SUMIFS(Data_Weekly!$H$2:$H$201,Data_Weekly!$A$2:$A$201,A48,Data_Weekly!$B$2:$B$201,Calc!$B$1)</f>
        <v>4298</v>
      </c>
      <c r="C48" s="30" t="n">
        <f aca="false">AVERAGE(B45:B48)</f>
        <v>3417</v>
      </c>
      <c r="D48" s="30" t="n">
        <f aca="false">SUMIFS(Data_Weekly!$G$2:$G$201,Data_Weekly!$A$2:$A$201,A48,Data_Weekly!$B$2:$B$201,Calc!$B$1)</f>
        <v>74375</v>
      </c>
    </row>
    <row r="49" customFormat="false" ht="15" hidden="false" customHeight="false" outlineLevel="0" collapsed="false">
      <c r="A49" s="27" t="n">
        <f aca="false">A48+7</f>
        <v>45754</v>
      </c>
      <c r="B49" s="26" t="n">
        <f aca="false">SUMIFS(Data_Weekly!$H$2:$H$201,Data_Weekly!$A$2:$A$201,A49,Data_Weekly!$B$2:$B$201,Calc!$B$1)</f>
        <v>2412</v>
      </c>
      <c r="C49" s="30" t="n">
        <f aca="false">AVERAGE(B46:B49)</f>
        <v>3092</v>
      </c>
      <c r="D49" s="30" t="n">
        <f aca="false">SUMIFS(Data_Weekly!$G$2:$G$201,Data_Weekly!$A$2:$A$201,A49,Data_Weekly!$B$2:$B$201,Calc!$B$1)</f>
        <v>132926</v>
      </c>
    </row>
    <row r="50" customFormat="false" ht="15" hidden="false" customHeight="false" outlineLevel="0" collapsed="false">
      <c r="A50" s="27" t="n">
        <f aca="false">A49+7</f>
        <v>45761</v>
      </c>
      <c r="B50" s="26" t="n">
        <f aca="false">SUMIFS(Data_Weekly!$H$2:$H$201,Data_Weekly!$A$2:$A$201,A50,Data_Weekly!$B$2:$B$201,Calc!$B$1)</f>
        <v>-137</v>
      </c>
      <c r="C50" s="30" t="n">
        <f aca="false">AVERAGE(B47:B50)</f>
        <v>2047.25</v>
      </c>
      <c r="D50" s="30" t="n">
        <f aca="false">SUMIFS(Data_Weekly!$G$2:$G$201,Data_Weekly!$A$2:$A$201,A50,Data_Weekly!$B$2:$B$201,Calc!$B$1)</f>
        <v>59981</v>
      </c>
    </row>
    <row r="51" customFormat="false" ht="15" hidden="false" customHeight="false" outlineLevel="0" collapsed="false">
      <c r="A51" s="27" t="n">
        <f aca="false">A50+7</f>
        <v>45768</v>
      </c>
      <c r="B51" s="26" t="n">
        <f aca="false">SUMIFS(Data_Weekly!$H$2:$H$201,Data_Weekly!$A$2:$A$201,A51,Data_Weekly!$B$2:$B$201,Calc!$B$1)</f>
        <v>4040</v>
      </c>
      <c r="C51" s="30" t="n">
        <f aca="false">AVERAGE(B48:B51)</f>
        <v>2653.25</v>
      </c>
      <c r="D51" s="30" t="n">
        <f aca="false">SUMIFS(Data_Weekly!$G$2:$G$201,Data_Weekly!$A$2:$A$201,A51,Data_Weekly!$B$2:$B$201,Calc!$B$1)</f>
        <v>49129</v>
      </c>
    </row>
    <row r="52" customFormat="false" ht="15" hidden="false" customHeight="false" outlineLevel="0" collapsed="false">
      <c r="A52" s="27" t="n">
        <f aca="false">A51+7</f>
        <v>45775</v>
      </c>
      <c r="B52" s="26" t="n">
        <f aca="false">SUMIFS(Data_Weekly!$H$2:$H$201,Data_Weekly!$A$2:$A$201,A52,Data_Weekly!$B$2:$B$201,Calc!$B$1)</f>
        <v>3577</v>
      </c>
      <c r="C52" s="30" t="n">
        <f aca="false">AVERAGE(B49:B52)</f>
        <v>2473</v>
      </c>
      <c r="D52" s="30" t="n">
        <f aca="false">SUMIFS(Data_Weekly!$G$2:$G$201,Data_Weekly!$A$2:$A$201,A52,Data_Weekly!$B$2:$B$201,Calc!$B$1)</f>
        <v>57130</v>
      </c>
    </row>
    <row r="53" customFormat="false" ht="15" hidden="false" customHeight="false" outlineLevel="0" collapsed="false">
      <c r="A53" s="27" t="n">
        <f aca="false">A52+7</f>
        <v>45782</v>
      </c>
      <c r="B53" s="26" t="n">
        <f aca="false">SUMIFS(Data_Weekly!$H$2:$H$201,Data_Weekly!$A$2:$A$201,A53,Data_Weekly!$B$2:$B$201,Calc!$B$1)</f>
        <v>4594</v>
      </c>
      <c r="C53" s="30" t="n">
        <f aca="false">AVERAGE(B50:B53)</f>
        <v>3018.5</v>
      </c>
      <c r="D53" s="30" t="n">
        <f aca="false">SUMIFS(Data_Weekly!$G$2:$G$201,Data_Weekly!$A$2:$A$201,A53,Data_Weekly!$B$2:$B$201,Calc!$B$1)</f>
        <v>105490</v>
      </c>
    </row>
    <row r="54" customFormat="false" ht="15" hidden="false" customHeight="false" outlineLevel="0" collapsed="false">
      <c r="A54" s="27" t="n">
        <f aca="false">A53+7</f>
        <v>45789</v>
      </c>
      <c r="B54" s="26" t="n">
        <f aca="false">SUMIFS(Data_Weekly!$H$2:$H$201,Data_Weekly!$A$2:$A$201,A54,Data_Weekly!$B$2:$B$201,Calc!$B$1)</f>
        <v>1995</v>
      </c>
      <c r="C54" s="30" t="n">
        <f aca="false">AVERAGE(B51:B54)</f>
        <v>3551.5</v>
      </c>
      <c r="D54" s="30" t="n">
        <f aca="false">SUMIFS(Data_Weekly!$G$2:$G$201,Data_Weekly!$A$2:$A$201,A54,Data_Weekly!$B$2:$B$201,Calc!$B$1)</f>
        <v>85623</v>
      </c>
    </row>
    <row r="56" customFormat="false" ht="15" hidden="false" customHeight="false" outlineLevel="0" collapsed="false">
      <c r="A56" s="5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31" t="s">
        <v>429</v>
      </c>
    </row>
    <row r="2" customFormat="false" ht="15" hidden="false" customHeight="false" outlineLevel="0" collapsed="false">
      <c r="A2" s="32" t="s">
        <v>430</v>
      </c>
      <c r="B2" s="33" t="s">
        <v>431</v>
      </c>
    </row>
    <row r="3" customFormat="false" ht="15" hidden="false" customHeight="false" outlineLevel="0" collapsed="false">
      <c r="A3" s="32" t="s">
        <v>432</v>
      </c>
      <c r="B3" s="33" t="s">
        <v>433</v>
      </c>
    </row>
    <row r="4" customFormat="false" ht="15" hidden="false" customHeight="false" outlineLevel="0" collapsed="false">
      <c r="A4" s="32"/>
      <c r="B4" s="33"/>
    </row>
    <row r="5" customFormat="false" ht="15" hidden="false" customHeight="false" outlineLevel="0" collapsed="false">
      <c r="A5" s="31" t="s">
        <v>434</v>
      </c>
    </row>
    <row r="6" customFormat="false" ht="15" hidden="false" customHeight="false" outlineLevel="0" collapsed="false">
      <c r="A6" s="32" t="s">
        <v>93</v>
      </c>
      <c r="B6" s="33" t="s">
        <v>435</v>
      </c>
    </row>
    <row r="7" customFormat="false" ht="15" hidden="false" customHeight="false" outlineLevel="0" collapsed="false">
      <c r="A7" s="32" t="s">
        <v>436</v>
      </c>
      <c r="B7" s="33" t="s">
        <v>437</v>
      </c>
    </row>
    <row r="8" customFormat="false" ht="15" hidden="false" customHeight="false" outlineLevel="0" collapsed="false">
      <c r="A8" s="32" t="s">
        <v>438</v>
      </c>
      <c r="B8" s="33" t="s">
        <v>439</v>
      </c>
    </row>
    <row r="9" customFormat="false" ht="15" hidden="false" customHeight="false" outlineLevel="0" collapsed="false">
      <c r="A9" s="32" t="s">
        <v>32</v>
      </c>
      <c r="B9" s="33" t="s">
        <v>440</v>
      </c>
    </row>
    <row r="10" customFormat="false" ht="15" hidden="false" customHeight="false" outlineLevel="0" collapsed="false">
      <c r="A10" s="32" t="s">
        <v>441</v>
      </c>
      <c r="B10" s="33" t="s">
        <v>442</v>
      </c>
    </row>
    <row r="11" customFormat="false" ht="15" hidden="false" customHeight="false" outlineLevel="0" collapsed="false">
      <c r="A11" s="32" t="s">
        <v>443</v>
      </c>
      <c r="B11" s="33" t="s">
        <v>444</v>
      </c>
    </row>
    <row r="12" customFormat="false" ht="15" hidden="false" customHeight="false" outlineLevel="0" collapsed="false">
      <c r="A12" s="32"/>
      <c r="B12" s="33"/>
    </row>
    <row r="13" customFormat="false" ht="15" hidden="false" customHeight="false" outlineLevel="0" collapsed="false">
      <c r="A13" s="31" t="s">
        <v>445</v>
      </c>
    </row>
    <row r="14" customFormat="false" ht="23.85" hidden="false" customHeight="false" outlineLevel="0" collapsed="false">
      <c r="A14" s="32" t="s">
        <v>446</v>
      </c>
      <c r="B14" s="33" t="s">
        <v>447</v>
      </c>
    </row>
    <row r="15" customFormat="false" ht="15" hidden="false" customHeight="false" outlineLevel="0" collapsed="false">
      <c r="A15" s="32" t="s">
        <v>448</v>
      </c>
      <c r="B15" s="33" t="s">
        <v>449</v>
      </c>
    </row>
    <row r="16" customFormat="false" ht="23.85" hidden="false" customHeight="false" outlineLevel="0" collapsed="false">
      <c r="A16" s="32" t="s">
        <v>450</v>
      </c>
      <c r="B16" s="33" t="s">
        <v>451</v>
      </c>
    </row>
    <row r="17" customFormat="false" ht="23.85" hidden="false" customHeight="false" outlineLevel="0" collapsed="false">
      <c r="A17" s="32" t="s">
        <v>452</v>
      </c>
      <c r="B17" s="33" t="s">
        <v>453</v>
      </c>
    </row>
    <row r="18" customFormat="false" ht="15" hidden="false" customHeight="false" outlineLevel="0" collapsed="false">
      <c r="A18" s="32" t="s">
        <v>454</v>
      </c>
      <c r="B18" s="33" t="s">
        <v>455</v>
      </c>
    </row>
    <row r="19" customFormat="false" ht="15" hidden="false" customHeight="false" outlineLevel="0" collapsed="false">
      <c r="A19" s="32" t="s">
        <v>456</v>
      </c>
      <c r="B19" s="33" t="s">
        <v>457</v>
      </c>
    </row>
    <row r="20" customFormat="false" ht="15" hidden="false" customHeight="false" outlineLevel="0" collapsed="false">
      <c r="A20" s="32" t="s">
        <v>458</v>
      </c>
      <c r="B20" s="33" t="s">
        <v>459</v>
      </c>
    </row>
    <row r="21" customFormat="false" ht="15" hidden="false" customHeight="false" outlineLevel="0" collapsed="false">
      <c r="A21" s="32"/>
      <c r="B21" s="33"/>
    </row>
    <row r="22" customFormat="false" ht="15" hidden="false" customHeight="false" outlineLevel="0" collapsed="false">
      <c r="A22" s="32" t="s">
        <v>460</v>
      </c>
      <c r="B22" s="33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2026-10-20T08:58:32Z</dcterms:created>
  <dc:creator>openpyxl</dc:creator>
  <dc:description/>
  <dc:language>en-US</dc:language>
  <cp:lastModifiedBy/>
  <dcterms:modified xsi:type="dcterms:W3CDTF">2026-10-20T08:58:35Z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